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ine\AllOfMe\T.A. Penelitian\HVAC RULES\"/>
    </mc:Choice>
  </mc:AlternateContent>
  <xr:revisionPtr revIDLastSave="0" documentId="13_ncr:1_{EF924238-B780-4221-986C-103217244E89}" xr6:coauthVersionLast="47" xr6:coauthVersionMax="47" xr10:uidLastSave="{00000000-0000-0000-0000-000000000000}"/>
  <bookViews>
    <workbookView xWindow="-108" yWindow="-108" windowWidth="23256" windowHeight="13176" activeTab="5" xr2:uid="{1C4C7626-9FEF-466A-857A-4B189451A208}"/>
  </bookViews>
  <sheets>
    <sheet name="Data Statistic" sheetId="2" r:id="rId1"/>
    <sheet name="Adjusted Maintenance" sheetId="8" r:id="rId2"/>
    <sheet name="Adjusted Trouble" sheetId="7" r:id="rId3"/>
    <sheet name="ALPHA" sheetId="5" r:id="rId4"/>
    <sheet name="DELTA" sheetId="9" r:id="rId5"/>
    <sheet name="BETA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8" i="7" l="1"/>
  <c r="S16" i="7"/>
  <c r="S16" i="8"/>
  <c r="M84" i="8"/>
  <c r="M83" i="8"/>
  <c r="M82" i="8"/>
  <c r="M81" i="8"/>
  <c r="M80" i="8"/>
  <c r="M79" i="8"/>
  <c r="M77" i="8"/>
  <c r="M76" i="8"/>
  <c r="M75" i="8"/>
  <c r="M74" i="8"/>
  <c r="M73" i="8"/>
  <c r="M72" i="8"/>
  <c r="H55" i="9"/>
  <c r="G55" i="9"/>
  <c r="E55" i="9"/>
  <c r="G54" i="9"/>
  <c r="H54" i="9" s="1"/>
  <c r="E54" i="9"/>
  <c r="E53" i="9"/>
  <c r="G53" i="9" s="1"/>
  <c r="H53" i="9" s="1"/>
  <c r="E52" i="9"/>
  <c r="G52" i="9" s="1"/>
  <c r="H52" i="9" s="1"/>
  <c r="H51" i="9"/>
  <c r="G51" i="9"/>
  <c r="E51" i="9"/>
  <c r="G50" i="9"/>
  <c r="H50" i="9" s="1"/>
  <c r="E50" i="9"/>
  <c r="G49" i="9"/>
  <c r="H49" i="9" s="1"/>
  <c r="E49" i="9"/>
  <c r="E48" i="9"/>
  <c r="G48" i="9" s="1"/>
  <c r="H48" i="9" s="1"/>
  <c r="H47" i="9"/>
  <c r="G47" i="9"/>
  <c r="E47" i="9"/>
  <c r="H46" i="9"/>
  <c r="G46" i="9"/>
  <c r="E46" i="9"/>
  <c r="G45" i="9"/>
  <c r="H45" i="9" s="1"/>
  <c r="E45" i="9"/>
  <c r="E44" i="9"/>
  <c r="G44" i="9" s="1"/>
  <c r="H44" i="9" s="1"/>
  <c r="H43" i="9"/>
  <c r="G43" i="9"/>
  <c r="E43" i="9"/>
  <c r="H42" i="9"/>
  <c r="G42" i="9"/>
  <c r="E42" i="9"/>
  <c r="G41" i="9"/>
  <c r="H41" i="9" s="1"/>
  <c r="E41" i="9"/>
  <c r="E40" i="9"/>
  <c r="G40" i="9" s="1"/>
  <c r="H40" i="9" s="1"/>
  <c r="H39" i="9"/>
  <c r="G39" i="9"/>
  <c r="E39" i="9"/>
  <c r="H38" i="9"/>
  <c r="G38" i="9"/>
  <c r="E38" i="9"/>
  <c r="G37" i="9"/>
  <c r="H37" i="9" s="1"/>
  <c r="E37" i="9"/>
  <c r="E36" i="9"/>
  <c r="G36" i="9" s="1"/>
  <c r="H36" i="9" s="1"/>
  <c r="H35" i="9"/>
  <c r="G35" i="9"/>
  <c r="E35" i="9"/>
  <c r="H34" i="9"/>
  <c r="G34" i="9"/>
  <c r="E34" i="9"/>
  <c r="G33" i="9"/>
  <c r="H33" i="9" s="1"/>
  <c r="E33" i="9"/>
  <c r="E32" i="9"/>
  <c r="G32" i="9" s="1"/>
  <c r="H32" i="9" s="1"/>
  <c r="H31" i="9"/>
  <c r="G31" i="9"/>
  <c r="E31" i="9"/>
  <c r="H30" i="9"/>
  <c r="G30" i="9"/>
  <c r="E30" i="9"/>
  <c r="G29" i="9"/>
  <c r="H29" i="9" s="1"/>
  <c r="E29" i="9"/>
  <c r="E28" i="9"/>
  <c r="G28" i="9" s="1"/>
  <c r="H28" i="9" s="1"/>
  <c r="H27" i="9"/>
  <c r="G27" i="9"/>
  <c r="E27" i="9"/>
  <c r="H26" i="9"/>
  <c r="G26" i="9"/>
  <c r="E26" i="9"/>
  <c r="G25" i="9"/>
  <c r="H25" i="9" s="1"/>
  <c r="E25" i="9"/>
  <c r="E24" i="9"/>
  <c r="G24" i="9" s="1"/>
  <c r="H24" i="9" s="1"/>
  <c r="H23" i="9"/>
  <c r="G23" i="9"/>
  <c r="E23" i="9"/>
  <c r="H22" i="9"/>
  <c r="G22" i="9"/>
  <c r="E22" i="9"/>
  <c r="G21" i="9"/>
  <c r="H21" i="9" s="1"/>
  <c r="E21" i="9"/>
  <c r="E20" i="9"/>
  <c r="G20" i="9" s="1"/>
  <c r="H20" i="9" s="1"/>
  <c r="H19" i="9"/>
  <c r="G19" i="9"/>
  <c r="E19" i="9"/>
  <c r="H18" i="9"/>
  <c r="G18" i="9"/>
  <c r="E18" i="9"/>
  <c r="G17" i="9"/>
  <c r="H17" i="9" s="1"/>
  <c r="E17" i="9"/>
  <c r="E16" i="9"/>
  <c r="G16" i="9" s="1"/>
  <c r="H16" i="9" s="1"/>
  <c r="H15" i="9"/>
  <c r="G15" i="9"/>
  <c r="E15" i="9"/>
  <c r="H14" i="9"/>
  <c r="G14" i="9"/>
  <c r="E14" i="9"/>
  <c r="G13" i="9"/>
  <c r="H13" i="9" s="1"/>
  <c r="E13" i="9"/>
  <c r="E12" i="9"/>
  <c r="G12" i="9" s="1"/>
  <c r="H12" i="9" s="1"/>
  <c r="H11" i="9"/>
  <c r="G11" i="9"/>
  <c r="E11" i="9"/>
  <c r="H10" i="9"/>
  <c r="G10" i="9"/>
  <c r="E10" i="9"/>
  <c r="G9" i="9"/>
  <c r="H9" i="9" s="1"/>
  <c r="E9" i="9"/>
  <c r="E8" i="9"/>
  <c r="G8" i="9" s="1"/>
  <c r="H8" i="9" s="1"/>
  <c r="H7" i="9"/>
  <c r="G7" i="9"/>
  <c r="E7" i="9"/>
  <c r="R9" i="8"/>
  <c r="R21" i="7" l="1"/>
  <c r="R20" i="7"/>
  <c r="S9" i="7"/>
  <c r="S21" i="7"/>
  <c r="S20" i="7"/>
  <c r="S19" i="7"/>
  <c r="R19" i="7"/>
  <c r="S18" i="7"/>
  <c r="S17" i="7"/>
  <c r="R17" i="7"/>
  <c r="R16" i="7"/>
  <c r="S14" i="7"/>
  <c r="R14" i="7"/>
  <c r="S13" i="7"/>
  <c r="R13" i="7"/>
  <c r="S12" i="7"/>
  <c r="R12" i="7"/>
  <c r="S11" i="7"/>
  <c r="R11" i="7"/>
  <c r="S10" i="7"/>
  <c r="R10" i="7"/>
  <c r="R9" i="7"/>
  <c r="S9" i="8"/>
  <c r="S10" i="8"/>
  <c r="S11" i="8"/>
  <c r="S12" i="8"/>
  <c r="S13" i="8"/>
  <c r="S14" i="8"/>
  <c r="S17" i="8"/>
  <c r="S18" i="8"/>
  <c r="S19" i="8"/>
  <c r="S20" i="8"/>
  <c r="S21" i="8"/>
  <c r="R21" i="8"/>
  <c r="R20" i="8"/>
  <c r="R19" i="8"/>
  <c r="R18" i="8"/>
  <c r="R17" i="8"/>
  <c r="R16" i="8"/>
  <c r="R14" i="8"/>
  <c r="R13" i="8"/>
  <c r="R12" i="8"/>
  <c r="R11" i="8"/>
  <c r="R10" i="8"/>
  <c r="P80" i="7" l="1"/>
  <c r="P73" i="7"/>
  <c r="M85" i="7"/>
  <c r="M84" i="7"/>
  <c r="M83" i="7"/>
  <c r="M82" i="7"/>
  <c r="M81" i="7"/>
  <c r="M80" i="7"/>
  <c r="M78" i="7"/>
  <c r="M77" i="7"/>
  <c r="M76" i="7"/>
  <c r="M75" i="7"/>
  <c r="M74" i="7"/>
  <c r="M73" i="7"/>
  <c r="P85" i="7"/>
  <c r="P84" i="7"/>
  <c r="P83" i="7"/>
  <c r="P82" i="7"/>
  <c r="P81" i="7"/>
  <c r="P78" i="7"/>
  <c r="P77" i="7"/>
  <c r="P76" i="7"/>
  <c r="P75" i="7"/>
  <c r="P74" i="7"/>
  <c r="P64" i="7"/>
  <c r="P63" i="7"/>
  <c r="P62" i="7"/>
  <c r="P61" i="7"/>
  <c r="P60" i="7"/>
  <c r="P59" i="7"/>
  <c r="P57" i="7"/>
  <c r="P56" i="7"/>
  <c r="P55" i="7"/>
  <c r="P54" i="7"/>
  <c r="P53" i="7"/>
  <c r="P52" i="7"/>
  <c r="M64" i="7"/>
  <c r="M63" i="7"/>
  <c r="M62" i="7"/>
  <c r="M61" i="7"/>
  <c r="M60" i="7"/>
  <c r="M59" i="7"/>
  <c r="M57" i="7"/>
  <c r="M56" i="7"/>
  <c r="M55" i="7"/>
  <c r="M54" i="7"/>
  <c r="M53" i="7"/>
  <c r="M52" i="7"/>
  <c r="M63" i="8" l="1"/>
  <c r="M62" i="8"/>
  <c r="M61" i="8"/>
  <c r="M60" i="8"/>
  <c r="M59" i="8"/>
  <c r="M58" i="8"/>
  <c r="M56" i="8"/>
  <c r="M55" i="8"/>
  <c r="M54" i="8"/>
  <c r="M53" i="8"/>
  <c r="M52" i="8"/>
  <c r="M51" i="8"/>
  <c r="P30" i="8"/>
  <c r="P51" i="8"/>
  <c r="P52" i="8"/>
  <c r="P53" i="8"/>
  <c r="P54" i="8"/>
  <c r="P55" i="8"/>
  <c r="P56" i="8"/>
  <c r="P58" i="8"/>
  <c r="P59" i="8"/>
  <c r="P60" i="8"/>
  <c r="P61" i="8"/>
  <c r="P62" i="8"/>
  <c r="P63" i="8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P37" i="8"/>
  <c r="P42" i="8" l="1"/>
  <c r="M42" i="8"/>
  <c r="P41" i="8"/>
  <c r="M41" i="8"/>
  <c r="P40" i="8"/>
  <c r="M40" i="8"/>
  <c r="P39" i="8"/>
  <c r="M39" i="8"/>
  <c r="P38" i="8"/>
  <c r="M38" i="8"/>
  <c r="M37" i="8"/>
  <c r="P35" i="8"/>
  <c r="M35" i="8"/>
  <c r="P34" i="8"/>
  <c r="M34" i="8"/>
  <c r="P33" i="8"/>
  <c r="M33" i="8"/>
  <c r="P32" i="8"/>
  <c r="M32" i="8"/>
  <c r="P31" i="8"/>
  <c r="M31" i="8"/>
  <c r="M30" i="8"/>
  <c r="P43" i="7"/>
  <c r="P42" i="7"/>
  <c r="P41" i="7"/>
  <c r="P40" i="7"/>
  <c r="P39" i="7"/>
  <c r="P38" i="7"/>
  <c r="P36" i="7"/>
  <c r="P35" i="7"/>
  <c r="P34" i="7"/>
  <c r="P33" i="7"/>
  <c r="P32" i="7"/>
  <c r="P31" i="7"/>
  <c r="M43" i="7"/>
  <c r="M42" i="7"/>
  <c r="M41" i="7"/>
  <c r="M40" i="7"/>
  <c r="M39" i="7"/>
  <c r="M38" i="7"/>
  <c r="M36" i="7"/>
  <c r="M35" i="7"/>
  <c r="M34" i="7"/>
  <c r="M33" i="7"/>
  <c r="M32" i="7"/>
  <c r="M31" i="7"/>
  <c r="F54" i="5" l="1"/>
  <c r="F53" i="5"/>
  <c r="F52" i="5"/>
  <c r="F51" i="5"/>
  <c r="F50" i="5"/>
  <c r="F49" i="5"/>
  <c r="F48" i="5"/>
  <c r="F47" i="5"/>
  <c r="F46" i="5"/>
  <c r="F45" i="5"/>
  <c r="F44" i="5"/>
  <c r="F43" i="5"/>
  <c r="F42" i="5"/>
  <c r="F41" i="5"/>
  <c r="F40" i="5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</calcChain>
</file>

<file path=xl/sharedStrings.xml><?xml version="1.0" encoding="utf-8"?>
<sst xmlns="http://schemas.openxmlformats.org/spreadsheetml/2006/main" count="1536" uniqueCount="262">
  <si>
    <t>AC Type</t>
  </si>
  <si>
    <t>Current NORMAL (A)</t>
  </si>
  <si>
    <t>Voltage NORMAL (V)</t>
  </si>
  <si>
    <t>Wattage NORMAL (W)</t>
  </si>
  <si>
    <t>NON INV 1/2 PK</t>
  </si>
  <si>
    <t>NON INV 3/4 PK</t>
  </si>
  <si>
    <t>NON INV 1 PK</t>
  </si>
  <si>
    <t>NON INV 1.5 PK</t>
  </si>
  <si>
    <t>NON INV 2 PK</t>
  </si>
  <si>
    <t>NON INV 2.5 PK</t>
  </si>
  <si>
    <t>Parameter</t>
  </si>
  <si>
    <t>Voltage (V)</t>
  </si>
  <si>
    <t>Current (A)</t>
  </si>
  <si>
    <t>Wattage (W)</t>
  </si>
  <si>
    <t>AC 1                          (Label: 510W, 2.40A, 220V)</t>
  </si>
  <si>
    <t>AC 2                          (Label: 350W, 1.60A, 220V)</t>
  </si>
  <si>
    <t>AC 3                          (Label: 385W, 1.75A, 230V)</t>
  </si>
  <si>
    <t>2.25 – 2.99</t>
  </si>
  <si>
    <t>1.18 – 1.51</t>
  </si>
  <si>
    <t>1.11 – 1.61</t>
  </si>
  <si>
    <t>209.32 – 226.19</t>
  </si>
  <si>
    <t>204 – 228.57</t>
  </si>
  <si>
    <t>223.39 – 235.74</t>
  </si>
  <si>
    <t>453.42 – 626.12</t>
  </si>
  <si>
    <t>259.80 – 317.33</t>
  </si>
  <si>
    <t>309.51 – 361.83</t>
  </si>
  <si>
    <t>AVERAGE Indoor Temperature (C)</t>
  </si>
  <si>
    <t>AVERAGE Outdoor Temperature (C)</t>
  </si>
  <si>
    <t>22.89</t>
  </si>
  <si>
    <t>23.97</t>
  </si>
  <si>
    <t>21.10</t>
  </si>
  <si>
    <t>26.41</t>
  </si>
  <si>
    <t>28.11</t>
  </si>
  <si>
    <t>27.75</t>
  </si>
  <si>
    <t>General Observed Range (Min - Max)</t>
  </si>
  <si>
    <t>Overall Average (where applicable)</t>
  </si>
  <si>
    <t>1.11 - 2.99</t>
  </si>
  <si>
    <t>204.00 - 235.74</t>
  </si>
  <si>
    <t>259.80 - 626.12</t>
  </si>
  <si>
    <t>Indoor Temp (°C)</t>
  </si>
  <si>
    <t>21.10 - 23.97</t>
  </si>
  <si>
    <t>~22.65</t>
  </si>
  <si>
    <t>Outdoor Temp (°C)</t>
  </si>
  <si>
    <t>26.41 - 28.11</t>
  </si>
  <si>
    <t>~27.42</t>
  </si>
  <si>
    <t>Beta (Out-In) Temp (°C)</t>
  </si>
  <si>
    <t>3.52 - 6.65</t>
  </si>
  <si>
    <t>~4.77</t>
  </si>
  <si>
    <t>200 - 240</t>
  </si>
  <si>
    <t>80% of Label - 120% of Label</t>
  </si>
  <si>
    <t>65% of Label - 135% of Label</t>
  </si>
  <si>
    <t>SET</t>
  </si>
  <si>
    <t>ROOM OMEGA</t>
  </si>
  <si>
    <t>ALPHA MIN</t>
  </si>
  <si>
    <t>ALPHA MAX</t>
  </si>
  <si>
    <t>VOLT MIN</t>
  </si>
  <si>
    <t>VOLT MAX</t>
  </si>
  <si>
    <t>AMPERE MIN</t>
  </si>
  <si>
    <t>AMPERE MAX</t>
  </si>
  <si>
    <t>V</t>
  </si>
  <si>
    <t>A</t>
  </si>
  <si>
    <t xml:space="preserve"> INV 1/2 PK</t>
  </si>
  <si>
    <t xml:space="preserve"> INV 3/4 PK</t>
  </si>
  <si>
    <t xml:space="preserve"> INV 1 PK</t>
  </si>
  <si>
    <t xml:space="preserve"> INV 1.5 PK</t>
  </si>
  <si>
    <t xml:space="preserve"> INV 2 PK</t>
  </si>
  <si>
    <t xml:space="preserve"> INV 2.5 PK</t>
  </si>
  <si>
    <t>ALL BRANDS : DAIKIN, SAMSUNG, LG, CHANGHONG, GREE, PANASONIC, AQUA, POLYTRON, SHARP</t>
  </si>
  <si>
    <t>°C</t>
  </si>
  <si>
    <t>REMOTE</t>
  </si>
  <si>
    <t>REMOTE+- 2~10</t>
  </si>
  <si>
    <t>WATT MIN</t>
  </si>
  <si>
    <t>WATT MAX</t>
  </si>
  <si>
    <t>W</t>
  </si>
  <si>
    <t>BETA MIN</t>
  </si>
  <si>
    <t>BETA MAX</t>
  </si>
  <si>
    <t>SET POINT</t>
  </si>
  <si>
    <t>ALPHA</t>
  </si>
  <si>
    <t>RUANGAN</t>
  </si>
  <si>
    <t>ALPHA = ROOM - REMOTE</t>
  </si>
  <si>
    <t>ROOM = ALPHA + REMOTE</t>
  </si>
  <si>
    <t>&lt;</t>
  </si>
  <si>
    <t>REMOTE = ROOM - ALPHA</t>
  </si>
  <si>
    <t>BETA</t>
  </si>
  <si>
    <t>AMBIENT</t>
  </si>
  <si>
    <t>PARAMETER NORMAL</t>
  </si>
  <si>
    <t>PARAMETER MAINTENANCE</t>
  </si>
  <si>
    <t>&gt; 196</t>
  </si>
  <si>
    <t>&gt; -3</t>
  </si>
  <si>
    <t>&lt; 25</t>
  </si>
  <si>
    <t>&gt; -10</t>
  </si>
  <si>
    <t>&lt; 265</t>
  </si>
  <si>
    <t>&lt; 3,42</t>
  </si>
  <si>
    <t>&lt; 4,95</t>
  </si>
  <si>
    <t>&lt; 6,32</t>
  </si>
  <si>
    <t>&lt; 7,94</t>
  </si>
  <si>
    <t>&lt; 12,15</t>
  </si>
  <si>
    <t>&lt; 15,45</t>
  </si>
  <si>
    <t>&lt; 3,96</t>
  </si>
  <si>
    <t>&lt; 3,75</t>
  </si>
  <si>
    <t>&lt; 6,28</t>
  </si>
  <si>
    <t>&lt; 9,55</t>
  </si>
  <si>
    <t>&lt; 12,62</t>
  </si>
  <si>
    <t>&lt; 17,73</t>
  </si>
  <si>
    <t>MAINTENANCE 1</t>
  </si>
  <si>
    <t>&gt; -1</t>
  </si>
  <si>
    <t>MAINTENANCE 2</t>
  </si>
  <si>
    <t>BETA = AMBIENT - SET POINT</t>
  </si>
  <si>
    <t>AMBIENT = SET POINT + BETA</t>
  </si>
  <si>
    <t>&gt; 3,42</t>
  </si>
  <si>
    <t>&gt; 4,95</t>
  </si>
  <si>
    <t>&gt; 6,32</t>
  </si>
  <si>
    <t>&gt; 7,94</t>
  </si>
  <si>
    <t>&gt; 12,15</t>
  </si>
  <si>
    <t>&gt; 15,45</t>
  </si>
  <si>
    <t>&gt; 3,96</t>
  </si>
  <si>
    <t>&gt; 3,75</t>
  </si>
  <si>
    <t>&gt; 6,28</t>
  </si>
  <si>
    <t>&gt; 9,55</t>
  </si>
  <si>
    <t>&gt; 12,62</t>
  </si>
  <si>
    <t>&gt; 17,73</t>
  </si>
  <si>
    <t>FILTER DUST, FIN OUTDOOR DUST, BLOCKAGE , ELECTRICAL</t>
  </si>
  <si>
    <t>&gt; 25</t>
  </si>
  <si>
    <t>TROUBLE 1</t>
  </si>
  <si>
    <t>TROUBLE 2</t>
  </si>
  <si>
    <t>TROUBLE 3</t>
  </si>
  <si>
    <t>COMPRESSOR OVERLOAD, BLOCKAGE, ELECTRICAL</t>
  </si>
  <si>
    <t>&lt; 196</t>
  </si>
  <si>
    <t>&gt; 265</t>
  </si>
  <si>
    <t>&gt; 17</t>
  </si>
  <si>
    <t>&lt; 17</t>
  </si>
  <si>
    <t>&lt; 289,8</t>
  </si>
  <si>
    <t>&lt; 462,3</t>
  </si>
  <si>
    <t>&lt; 591,1</t>
  </si>
  <si>
    <t xml:space="preserve"> &lt; 775,1</t>
  </si>
  <si>
    <t>&lt; 1216,7</t>
  </si>
  <si>
    <t>&lt; 1584,7</t>
  </si>
  <si>
    <t>&lt; 340,4</t>
  </si>
  <si>
    <t>&lt; 402,5</t>
  </si>
  <si>
    <t>&lt; 572,7</t>
  </si>
  <si>
    <t>&lt; 770,5</t>
  </si>
  <si>
    <t>&lt; 1136,2</t>
  </si>
  <si>
    <t>&lt; 1616,9</t>
  </si>
  <si>
    <t>&gt; 540,5</t>
  </si>
  <si>
    <t>&gt; 857,9</t>
  </si>
  <si>
    <t>&gt; 1099,4</t>
  </si>
  <si>
    <t>&gt; 1442,1</t>
  </si>
  <si>
    <t>&gt; 2265,5</t>
  </si>
  <si>
    <t>&gt; 2946,3</t>
  </si>
  <si>
    <t>&gt; 630,2</t>
  </si>
  <si>
    <t>&gt; 747,5</t>
  </si>
  <si>
    <t>&gt; 1062,6</t>
  </si>
  <si>
    <t>&gt; 1430,6</t>
  </si>
  <si>
    <t>&gt; 2109,1</t>
  </si>
  <si>
    <t>&gt; 3001,5</t>
  </si>
  <si>
    <t>&lt; 540,5</t>
  </si>
  <si>
    <t>&lt; 857,9</t>
  </si>
  <si>
    <t>&lt; 1099,4</t>
  </si>
  <si>
    <t>&lt; 1442,1</t>
  </si>
  <si>
    <t>&lt; 2946,3</t>
  </si>
  <si>
    <t>&lt; 2265,5</t>
  </si>
  <si>
    <t>&lt; 630,2</t>
  </si>
  <si>
    <t>&lt; 747,5</t>
  </si>
  <si>
    <t>&lt; 1062,6</t>
  </si>
  <si>
    <t>&lt; 1430,6</t>
  </si>
  <si>
    <t>&lt; 2109,1</t>
  </si>
  <si>
    <t>&lt; 3001,5</t>
  </si>
  <si>
    <t>&gt; 289,8</t>
  </si>
  <si>
    <t>&gt; 462,3</t>
  </si>
  <si>
    <t>&gt; 591,1</t>
  </si>
  <si>
    <t>&gt; 775,1</t>
  </si>
  <si>
    <t>&gt; 1216,7</t>
  </si>
  <si>
    <t>&gt; 1584,7</t>
  </si>
  <si>
    <t>&gt; 340,4</t>
  </si>
  <si>
    <t>&gt; 402,5</t>
  </si>
  <si>
    <t>&gt; 572,7</t>
  </si>
  <si>
    <t>&gt; 770,5</t>
  </si>
  <si>
    <t>&gt; 1136,2</t>
  </si>
  <si>
    <t>&gt; 1616,9</t>
  </si>
  <si>
    <t>&gt; 255,3</t>
  </si>
  <si>
    <t>&gt; 409,4</t>
  </si>
  <si>
    <t>&gt; 549,7</t>
  </si>
  <si>
    <t>&gt; 724,5</t>
  </si>
  <si>
    <t>&gt; 1163,8</t>
  </si>
  <si>
    <t>&gt; 1552,5</t>
  </si>
  <si>
    <t>&gt; 264,5</t>
  </si>
  <si>
    <t>&gt; 271,4</t>
  </si>
  <si>
    <t>&gt; 469,2</t>
  </si>
  <si>
    <t>&gt; 570,4</t>
  </si>
  <si>
    <t>&gt; 1288</t>
  </si>
  <si>
    <t>&lt; 255,3</t>
  </si>
  <si>
    <t>&lt; 409,4</t>
  </si>
  <si>
    <t>&lt; 549,7</t>
  </si>
  <si>
    <t>&lt; 724,5</t>
  </si>
  <si>
    <t>&lt; 1163,8</t>
  </si>
  <si>
    <t>&lt; 1552,5</t>
  </si>
  <si>
    <t>&lt; 264,5</t>
  </si>
  <si>
    <t>&lt; 271,4</t>
  </si>
  <si>
    <t>&lt; 469,2</t>
  </si>
  <si>
    <t>&lt; 570,4</t>
  </si>
  <si>
    <t>&lt; 1288</t>
  </si>
  <si>
    <t>&lt; 786,6</t>
  </si>
  <si>
    <t>&lt; 1138,5</t>
  </si>
  <si>
    <t>&lt; 1453,6</t>
  </si>
  <si>
    <t>&lt; 1826,2</t>
  </si>
  <si>
    <t>&lt; 2794,5</t>
  </si>
  <si>
    <t>&lt; 3553,5</t>
  </si>
  <si>
    <t>&lt; 910,8</t>
  </si>
  <si>
    <t>&lt; 862,5</t>
  </si>
  <si>
    <t>&lt; 1444,4</t>
  </si>
  <si>
    <t>&lt; 2196,5</t>
  </si>
  <si>
    <t>&lt; 2902,6</t>
  </si>
  <si>
    <t>&lt; 4077,9</t>
  </si>
  <si>
    <t>&gt; 786,6</t>
  </si>
  <si>
    <t>&gt; 1138,5</t>
  </si>
  <si>
    <t>&gt; 1453,6</t>
  </si>
  <si>
    <t>&gt; 1826,2</t>
  </si>
  <si>
    <t>&gt; 2794,5</t>
  </si>
  <si>
    <t>&gt; 3553,5</t>
  </si>
  <si>
    <t>&gt; 910,8</t>
  </si>
  <si>
    <t>&gt; 862,5</t>
  </si>
  <si>
    <t>&gt; 1444,4</t>
  </si>
  <si>
    <t>&gt; 2196,5</t>
  </si>
  <si>
    <t>&gt; 2902,6</t>
  </si>
  <si>
    <t>&gt; 4077,9</t>
  </si>
  <si>
    <t>INSUFFICIENT FREON, LEAKAGE, FREEZE</t>
  </si>
  <si>
    <t>DELTA MAX</t>
  </si>
  <si>
    <t>DELTA MIN</t>
  </si>
  <si>
    <t>SUPPLY</t>
  </si>
  <si>
    <t>DELTA</t>
  </si>
  <si>
    <t>RETURN</t>
  </si>
  <si>
    <t>DELTA = RETURN - SUPPLY</t>
  </si>
  <si>
    <t>RETURN = DELTA + SUPPLY</t>
  </si>
  <si>
    <t>SUPPLY = RETURN - DELTA</t>
  </si>
  <si>
    <t>&lt; -5</t>
  </si>
  <si>
    <t>&gt; 12</t>
  </si>
  <si>
    <t>REMOTE - 2~7</t>
  </si>
  <si>
    <t>REMOTE +- 2</t>
  </si>
  <si>
    <t xml:space="preserve"> &lt; -17</t>
  </si>
  <si>
    <t xml:space="preserve"> &lt; 22</t>
  </si>
  <si>
    <t xml:space="preserve"> &gt; -17</t>
  </si>
  <si>
    <t xml:space="preserve"> &gt; 22</t>
  </si>
  <si>
    <t>UNSTABLE VOLTAGE, GENERATOR POWER SUPPLY</t>
  </si>
  <si>
    <t>&lt; -1</t>
  </si>
  <si>
    <t>AVERAGE Beta (Out-Set) Temperature (C)</t>
  </si>
  <si>
    <t>ABNORMAL STATUS</t>
  </si>
  <si>
    <t>OPENING, OVERCAPACITY</t>
  </si>
  <si>
    <t xml:space="preserve"> &gt; 1,26</t>
  </si>
  <si>
    <t xml:space="preserve"> &gt; 2,01</t>
  </si>
  <si>
    <t xml:space="preserve"> &gt; 2,57</t>
  </si>
  <si>
    <t xml:space="preserve"> &gt; 3,37</t>
  </si>
  <si>
    <t xml:space="preserve"> &gt; 5,29</t>
  </si>
  <si>
    <t xml:space="preserve"> &gt; 6,89</t>
  </si>
  <si>
    <t xml:space="preserve"> &gt; 1,48</t>
  </si>
  <si>
    <t xml:space="preserve"> &gt; 1,75</t>
  </si>
  <si>
    <t xml:space="preserve"> &gt; 2,49</t>
  </si>
  <si>
    <t xml:space="preserve"> &gt; 3,35</t>
  </si>
  <si>
    <t xml:space="preserve"> &gt; 4,94</t>
  </si>
  <si>
    <t xml:space="preserve"> &gt; 7,03</t>
  </si>
  <si>
    <t>&lt; 12</t>
  </si>
  <si>
    <t>&lt; 2,74</t>
  </si>
  <si>
    <t>&gt; 2,74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</si>
</sst>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</font>
    <font>
      <i/>
      <sz val="11"/>
      <color rgb="FF000000"/>
      <name val="Calibri"/>
      <family val="2"/>
    </font>
    <font>
      <i/>
      <sz val="11"/>
      <name val="Calibri"/>
      <family val="2"/>
      <scheme val="minor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rgb="FFFA00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2" xfId="0" applyBorder="1"/>
    <xf numFmtId="0" fontId="7" fillId="0" borderId="2" xfId="0" applyFont="1" applyBorder="1"/>
    <xf numFmtId="0" fontId="7" fillId="0" borderId="2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3" borderId="2" xfId="0" quotePrefix="1" applyFont="1" applyFill="1" applyBorder="1" applyAlignment="1">
      <alignment horizontal="center"/>
    </xf>
    <xf numFmtId="0" fontId="0" fillId="4" borderId="0" xfId="0" applyFill="1"/>
    <xf numFmtId="0" fontId="0" fillId="3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8" fillId="9" borderId="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2" fontId="2" fillId="3" borderId="2" xfId="0" applyNumberFormat="1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8" fillId="10" borderId="2" xfId="0" applyFont="1" applyFill="1" applyBorder="1" applyAlignment="1">
      <alignment horizontal="center"/>
    </xf>
    <xf numFmtId="2" fontId="2" fillId="6" borderId="2" xfId="0" applyNumberFormat="1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0" borderId="0" xfId="0" applyFont="1"/>
    <xf numFmtId="0" fontId="10" fillId="2" borderId="0" xfId="0" applyFont="1" applyFill="1" applyAlignment="1">
      <alignment horizontal="center"/>
    </xf>
    <xf numFmtId="0" fontId="9" fillId="6" borderId="2" xfId="0" applyFont="1" applyFill="1" applyBorder="1" applyAlignment="1">
      <alignment horizontal="center"/>
    </xf>
    <xf numFmtId="0" fontId="2" fillId="6" borderId="2" xfId="0" quotePrefix="1" applyFont="1" applyFill="1" applyBorder="1" applyAlignment="1">
      <alignment horizontal="center"/>
    </xf>
    <xf numFmtId="0" fontId="10" fillId="6" borderId="0" xfId="0" applyFont="1" applyFill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9">
    <dxf>
      <fill>
        <patternFill>
          <bgColor rgb="FFEE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EE0000"/>
        </patternFill>
      </fill>
    </dxf>
  </dxfs>
  <tableStyles count="0" defaultTableStyle="TableStyleMedium2" defaultPivotStyle="PivotStyleLight16"/>
  <colors>
    <mruColors>
      <color rgb="FFFA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4229B-ACBA-40D3-9FBC-E3D8CB2527DC}">
  <dimension ref="A1:G16"/>
  <sheetViews>
    <sheetView workbookViewId="0">
      <selection activeCell="G1" sqref="G1"/>
    </sheetView>
  </sheetViews>
  <sheetFormatPr defaultColWidth="25.77734375" defaultRowHeight="14.4" x14ac:dyDescent="0.3"/>
  <cols>
    <col min="3" max="3" width="32.109375" customWidth="1"/>
  </cols>
  <sheetData>
    <row r="1" spans="1:7" ht="4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26</v>
      </c>
      <c r="F1" s="1" t="s">
        <v>27</v>
      </c>
      <c r="G1" s="1" t="s">
        <v>244</v>
      </c>
    </row>
    <row r="2" spans="1:7" ht="49.95" customHeight="1" x14ac:dyDescent="0.3">
      <c r="A2" s="2" t="s">
        <v>14</v>
      </c>
      <c r="B2" s="3" t="s">
        <v>17</v>
      </c>
      <c r="C2" s="3" t="s">
        <v>20</v>
      </c>
      <c r="D2" s="3" t="s">
        <v>23</v>
      </c>
      <c r="E2" s="3" t="s">
        <v>29</v>
      </c>
      <c r="F2" s="3" t="s">
        <v>32</v>
      </c>
      <c r="G2" s="3">
        <v>4.1399999999999997</v>
      </c>
    </row>
    <row r="3" spans="1:7" ht="49.95" customHeight="1" x14ac:dyDescent="0.3">
      <c r="A3" s="2" t="s">
        <v>15</v>
      </c>
      <c r="B3" s="3" t="s">
        <v>18</v>
      </c>
      <c r="C3" s="3" t="s">
        <v>21</v>
      </c>
      <c r="D3" s="3" t="s">
        <v>24</v>
      </c>
      <c r="E3" s="3" t="s">
        <v>30</v>
      </c>
      <c r="F3" s="3" t="s">
        <v>33</v>
      </c>
      <c r="G3" s="3">
        <v>6.65</v>
      </c>
    </row>
    <row r="4" spans="1:7" ht="49.95" customHeight="1" x14ac:dyDescent="0.3">
      <c r="A4" s="2" t="s">
        <v>16</v>
      </c>
      <c r="B4" s="3" t="s">
        <v>19</v>
      </c>
      <c r="C4" s="3" t="s">
        <v>22</v>
      </c>
      <c r="D4" s="3" t="s">
        <v>25</v>
      </c>
      <c r="E4" s="3" t="s">
        <v>28</v>
      </c>
      <c r="F4" s="3" t="s">
        <v>31</v>
      </c>
      <c r="G4" s="3">
        <v>3.52</v>
      </c>
    </row>
    <row r="5" spans="1:7" x14ac:dyDescent="0.3">
      <c r="A5" s="2"/>
      <c r="B5" s="3"/>
      <c r="C5" s="3"/>
      <c r="D5" s="3"/>
      <c r="E5" s="3"/>
      <c r="F5" s="3"/>
      <c r="G5" s="3"/>
    </row>
    <row r="6" spans="1:7" x14ac:dyDescent="0.3">
      <c r="A6" s="2"/>
      <c r="B6" s="3"/>
      <c r="C6" s="3"/>
      <c r="D6" s="3"/>
      <c r="E6" s="3"/>
      <c r="F6" s="3"/>
      <c r="G6" s="3"/>
    </row>
    <row r="7" spans="1:7" x14ac:dyDescent="0.3">
      <c r="A7" s="2"/>
      <c r="B7" s="3"/>
      <c r="C7" s="3"/>
      <c r="D7" s="3"/>
      <c r="E7" s="3"/>
      <c r="F7" s="3"/>
      <c r="G7" s="3"/>
    </row>
    <row r="9" spans="1:7" ht="15" thickBot="1" x14ac:dyDescent="0.35"/>
    <row r="10" spans="1:7" ht="45" customHeight="1" thickBot="1" x14ac:dyDescent="0.35">
      <c r="A10" s="6" t="s">
        <v>10</v>
      </c>
      <c r="B10" s="6" t="s">
        <v>34</v>
      </c>
      <c r="C10" s="7" t="s">
        <v>35</v>
      </c>
      <c r="D10" s="9"/>
      <c r="E10" s="4"/>
    </row>
    <row r="11" spans="1:7" ht="45" customHeight="1" thickBot="1" x14ac:dyDescent="0.35">
      <c r="A11" s="8" t="s">
        <v>12</v>
      </c>
      <c r="B11" s="5" t="s">
        <v>36</v>
      </c>
      <c r="C11" s="5" t="s">
        <v>50</v>
      </c>
      <c r="D11" s="4"/>
      <c r="E11" s="4"/>
    </row>
    <row r="12" spans="1:7" ht="45" customHeight="1" thickBot="1" x14ac:dyDescent="0.35">
      <c r="A12" s="8" t="s">
        <v>11</v>
      </c>
      <c r="B12" s="5" t="s">
        <v>37</v>
      </c>
      <c r="C12" s="5" t="s">
        <v>48</v>
      </c>
      <c r="D12" s="4"/>
      <c r="E12" s="4"/>
    </row>
    <row r="13" spans="1:7" ht="45" customHeight="1" thickBot="1" x14ac:dyDescent="0.35">
      <c r="A13" s="8" t="s">
        <v>13</v>
      </c>
      <c r="B13" s="5" t="s">
        <v>38</v>
      </c>
      <c r="C13" s="5" t="s">
        <v>49</v>
      </c>
      <c r="D13" s="4"/>
      <c r="E13" s="4"/>
    </row>
    <row r="14" spans="1:7" ht="45" customHeight="1" thickBot="1" x14ac:dyDescent="0.35">
      <c r="A14" s="8" t="s">
        <v>39</v>
      </c>
      <c r="B14" s="5" t="s">
        <v>40</v>
      </c>
      <c r="C14" s="5" t="s">
        <v>41</v>
      </c>
      <c r="D14" s="4"/>
      <c r="E14" s="4"/>
    </row>
    <row r="15" spans="1:7" ht="45" customHeight="1" thickBot="1" x14ac:dyDescent="0.35">
      <c r="A15" s="8" t="s">
        <v>42</v>
      </c>
      <c r="B15" s="5" t="s">
        <v>43</v>
      </c>
      <c r="C15" s="5" t="s">
        <v>44</v>
      </c>
      <c r="D15" s="4"/>
      <c r="E15" s="4"/>
    </row>
    <row r="16" spans="1:7" ht="45" customHeight="1" thickBot="1" x14ac:dyDescent="0.35">
      <c r="A16" s="8" t="s">
        <v>45</v>
      </c>
      <c r="B16" s="5" t="s">
        <v>46</v>
      </c>
      <c r="C16" s="5" t="s">
        <v>47</v>
      </c>
      <c r="D16" s="4"/>
      <c r="E16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8AED2-4539-48EF-BF08-8EEB300A5F34}">
  <dimension ref="C3:S84"/>
  <sheetViews>
    <sheetView topLeftCell="A42" zoomScale="70" zoomScaleNormal="70" workbookViewId="0">
      <selection activeCell="A73" sqref="A73"/>
    </sheetView>
  </sheetViews>
  <sheetFormatPr defaultColWidth="13.33203125" defaultRowHeight="14.4" x14ac:dyDescent="0.3"/>
  <cols>
    <col min="5" max="5" width="14.77734375" customWidth="1"/>
  </cols>
  <sheetData>
    <row r="3" spans="3:19" x14ac:dyDescent="0.3">
      <c r="F3" s="37" t="s">
        <v>85</v>
      </c>
      <c r="G3" s="37"/>
      <c r="H3" s="37"/>
      <c r="I3" s="37"/>
    </row>
    <row r="4" spans="3:19" x14ac:dyDescent="0.3">
      <c r="F4" s="37"/>
      <c r="G4" s="37"/>
      <c r="H4" s="37"/>
      <c r="I4" s="37"/>
    </row>
    <row r="5" spans="3:19" x14ac:dyDescent="0.3">
      <c r="F5" s="38" t="s">
        <v>67</v>
      </c>
      <c r="G5" s="38"/>
      <c r="H5" s="38"/>
      <c r="I5" s="38"/>
      <c r="J5" s="38"/>
      <c r="K5" s="38"/>
      <c r="L5" s="38"/>
      <c r="M5" s="38"/>
      <c r="N5" s="38"/>
      <c r="O5" s="38"/>
    </row>
    <row r="7" spans="3:19" x14ac:dyDescent="0.3">
      <c r="D7" s="10" t="s">
        <v>51</v>
      </c>
      <c r="E7" s="10" t="s">
        <v>52</v>
      </c>
      <c r="F7" s="10" t="s">
        <v>228</v>
      </c>
      <c r="G7" s="10" t="s">
        <v>230</v>
      </c>
      <c r="H7" s="10" t="s">
        <v>74</v>
      </c>
      <c r="I7" s="10" t="s">
        <v>75</v>
      </c>
      <c r="J7" s="10" t="s">
        <v>227</v>
      </c>
      <c r="K7" s="10" t="s">
        <v>226</v>
      </c>
      <c r="L7" s="10" t="s">
        <v>53</v>
      </c>
      <c r="M7" s="10" t="s">
        <v>54</v>
      </c>
      <c r="N7" s="10" t="s">
        <v>55</v>
      </c>
      <c r="O7" s="10" t="s">
        <v>56</v>
      </c>
      <c r="P7" s="10" t="s">
        <v>57</v>
      </c>
      <c r="Q7" s="10" t="s">
        <v>58</v>
      </c>
      <c r="R7" s="10" t="s">
        <v>71</v>
      </c>
      <c r="S7" s="10" t="s">
        <v>72</v>
      </c>
    </row>
    <row r="8" spans="3:19" x14ac:dyDescent="0.3">
      <c r="D8" s="11" t="s">
        <v>68</v>
      </c>
      <c r="E8" s="11" t="s">
        <v>68</v>
      </c>
      <c r="F8" s="11" t="s">
        <v>68</v>
      </c>
      <c r="G8" s="11" t="s">
        <v>68</v>
      </c>
      <c r="H8" s="11" t="s">
        <v>68</v>
      </c>
      <c r="I8" s="11" t="s">
        <v>68</v>
      </c>
      <c r="J8" s="11" t="s">
        <v>68</v>
      </c>
      <c r="K8" s="11" t="s">
        <v>68</v>
      </c>
      <c r="L8" s="11" t="s">
        <v>68</v>
      </c>
      <c r="M8" s="11" t="s">
        <v>68</v>
      </c>
      <c r="N8" s="11" t="s">
        <v>59</v>
      </c>
      <c r="O8" s="11" t="s">
        <v>59</v>
      </c>
      <c r="P8" s="11" t="s">
        <v>60</v>
      </c>
      <c r="Q8" s="11" t="s">
        <v>60</v>
      </c>
      <c r="R8" s="11" t="s">
        <v>73</v>
      </c>
      <c r="S8" s="11" t="s">
        <v>73</v>
      </c>
    </row>
    <row r="9" spans="3:19" x14ac:dyDescent="0.3">
      <c r="C9" s="12" t="s">
        <v>4</v>
      </c>
      <c r="D9" s="13" t="s">
        <v>69</v>
      </c>
      <c r="E9" s="13" t="s">
        <v>70</v>
      </c>
      <c r="F9" s="13" t="s">
        <v>236</v>
      </c>
      <c r="G9" s="13" t="s">
        <v>237</v>
      </c>
      <c r="H9" s="14">
        <v>-1</v>
      </c>
      <c r="I9" s="14">
        <v>17</v>
      </c>
      <c r="J9" s="14">
        <v>-5</v>
      </c>
      <c r="K9" s="14">
        <v>12</v>
      </c>
      <c r="L9" s="14">
        <v>-3</v>
      </c>
      <c r="M9" s="14">
        <v>7</v>
      </c>
      <c r="N9" s="14">
        <v>196</v>
      </c>
      <c r="O9" s="14">
        <v>265</v>
      </c>
      <c r="P9" s="14">
        <v>1.26</v>
      </c>
      <c r="Q9" s="14">
        <v>2.35</v>
      </c>
      <c r="R9" s="18">
        <f t="shared" ref="R9:S14" si="0">PRODUCT(230,P9)</f>
        <v>289.8</v>
      </c>
      <c r="S9" s="18">
        <f t="shared" si="0"/>
        <v>540.5</v>
      </c>
    </row>
    <row r="10" spans="3:19" x14ac:dyDescent="0.3">
      <c r="C10" s="12" t="s">
        <v>5</v>
      </c>
      <c r="D10" s="13" t="s">
        <v>69</v>
      </c>
      <c r="E10" s="13" t="s">
        <v>70</v>
      </c>
      <c r="F10" s="13" t="s">
        <v>236</v>
      </c>
      <c r="G10" s="13" t="s">
        <v>237</v>
      </c>
      <c r="H10" s="14">
        <v>-1</v>
      </c>
      <c r="I10" s="14">
        <v>17</v>
      </c>
      <c r="J10" s="14">
        <v>-5</v>
      </c>
      <c r="K10" s="14">
        <v>12</v>
      </c>
      <c r="L10" s="14">
        <v>-3</v>
      </c>
      <c r="M10" s="14">
        <v>7</v>
      </c>
      <c r="N10" s="14">
        <v>196</v>
      </c>
      <c r="O10" s="14">
        <v>265</v>
      </c>
      <c r="P10" s="14">
        <v>2.0099999999999998</v>
      </c>
      <c r="Q10" s="14">
        <v>3.73</v>
      </c>
      <c r="R10" s="18">
        <f t="shared" si="0"/>
        <v>462.29999999999995</v>
      </c>
      <c r="S10" s="18">
        <f t="shared" si="0"/>
        <v>857.9</v>
      </c>
    </row>
    <row r="11" spans="3:19" x14ac:dyDescent="0.3">
      <c r="C11" s="12" t="s">
        <v>6</v>
      </c>
      <c r="D11" s="13" t="s">
        <v>69</v>
      </c>
      <c r="E11" s="13" t="s">
        <v>70</v>
      </c>
      <c r="F11" s="13" t="s">
        <v>236</v>
      </c>
      <c r="G11" s="13" t="s">
        <v>237</v>
      </c>
      <c r="H11" s="14">
        <v>-1</v>
      </c>
      <c r="I11" s="14">
        <v>17</v>
      </c>
      <c r="J11" s="14">
        <v>-5</v>
      </c>
      <c r="K11" s="14">
        <v>12</v>
      </c>
      <c r="L11" s="14">
        <v>-3</v>
      </c>
      <c r="M11" s="14">
        <v>7</v>
      </c>
      <c r="N11" s="14">
        <v>196</v>
      </c>
      <c r="O11" s="14">
        <v>265</v>
      </c>
      <c r="P11" s="14">
        <v>2.57</v>
      </c>
      <c r="Q11" s="14">
        <v>4.78</v>
      </c>
      <c r="R11" s="18">
        <f t="shared" si="0"/>
        <v>591.09999999999991</v>
      </c>
      <c r="S11" s="18">
        <f t="shared" si="0"/>
        <v>1099.4000000000001</v>
      </c>
    </row>
    <row r="12" spans="3:19" x14ac:dyDescent="0.3">
      <c r="C12" s="12" t="s">
        <v>7</v>
      </c>
      <c r="D12" s="13" t="s">
        <v>69</v>
      </c>
      <c r="E12" s="13" t="s">
        <v>70</v>
      </c>
      <c r="F12" s="13" t="s">
        <v>236</v>
      </c>
      <c r="G12" s="13" t="s">
        <v>237</v>
      </c>
      <c r="H12" s="14">
        <v>-1</v>
      </c>
      <c r="I12" s="14">
        <v>17</v>
      </c>
      <c r="J12" s="14">
        <v>-5</v>
      </c>
      <c r="K12" s="14">
        <v>12</v>
      </c>
      <c r="L12" s="14">
        <v>-3</v>
      </c>
      <c r="M12" s="14">
        <v>7</v>
      </c>
      <c r="N12" s="14">
        <v>196</v>
      </c>
      <c r="O12" s="14">
        <v>265</v>
      </c>
      <c r="P12" s="14">
        <v>3.37</v>
      </c>
      <c r="Q12" s="14">
        <v>6.27</v>
      </c>
      <c r="R12" s="18">
        <f t="shared" si="0"/>
        <v>775.1</v>
      </c>
      <c r="S12" s="18">
        <f t="shared" si="0"/>
        <v>1442.1</v>
      </c>
    </row>
    <row r="13" spans="3:19" x14ac:dyDescent="0.3">
      <c r="C13" s="12" t="s">
        <v>8</v>
      </c>
      <c r="D13" s="13" t="s">
        <v>69</v>
      </c>
      <c r="E13" s="13" t="s">
        <v>70</v>
      </c>
      <c r="F13" s="13" t="s">
        <v>236</v>
      </c>
      <c r="G13" s="13" t="s">
        <v>237</v>
      </c>
      <c r="H13" s="14">
        <v>-1</v>
      </c>
      <c r="I13" s="14">
        <v>17</v>
      </c>
      <c r="J13" s="14">
        <v>-5</v>
      </c>
      <c r="K13" s="14">
        <v>12</v>
      </c>
      <c r="L13" s="14">
        <v>-3</v>
      </c>
      <c r="M13" s="14">
        <v>7</v>
      </c>
      <c r="N13" s="14">
        <v>196</v>
      </c>
      <c r="O13" s="14">
        <v>265</v>
      </c>
      <c r="P13" s="14">
        <v>5.29</v>
      </c>
      <c r="Q13" s="14">
        <v>9.85</v>
      </c>
      <c r="R13" s="18">
        <f t="shared" si="0"/>
        <v>1216.7</v>
      </c>
      <c r="S13" s="18">
        <f t="shared" si="0"/>
        <v>2265.5</v>
      </c>
    </row>
    <row r="14" spans="3:19" x14ac:dyDescent="0.3">
      <c r="C14" s="12" t="s">
        <v>9</v>
      </c>
      <c r="D14" s="13" t="s">
        <v>69</v>
      </c>
      <c r="E14" s="13" t="s">
        <v>70</v>
      </c>
      <c r="F14" s="13" t="s">
        <v>236</v>
      </c>
      <c r="G14" s="13" t="s">
        <v>237</v>
      </c>
      <c r="H14" s="14">
        <v>-1</v>
      </c>
      <c r="I14" s="14">
        <v>17</v>
      </c>
      <c r="J14" s="14">
        <v>-5</v>
      </c>
      <c r="K14" s="14">
        <v>12</v>
      </c>
      <c r="L14" s="14">
        <v>-3</v>
      </c>
      <c r="M14" s="14">
        <v>7</v>
      </c>
      <c r="N14" s="14">
        <v>196</v>
      </c>
      <c r="O14" s="14">
        <v>265</v>
      </c>
      <c r="P14" s="14">
        <v>6.89</v>
      </c>
      <c r="Q14" s="14">
        <v>12.81</v>
      </c>
      <c r="R14" s="18">
        <f t="shared" si="0"/>
        <v>1584.6999999999998</v>
      </c>
      <c r="S14" s="18">
        <f t="shared" si="0"/>
        <v>2946.3</v>
      </c>
    </row>
    <row r="15" spans="3:19" x14ac:dyDescent="0.3">
      <c r="D15" s="15"/>
      <c r="E15" s="15"/>
      <c r="F15" s="15"/>
      <c r="G15" s="15"/>
      <c r="H15" s="15"/>
      <c r="I15" s="15"/>
      <c r="J15" s="15"/>
      <c r="K15" s="15"/>
      <c r="L15" s="16"/>
      <c r="M15" s="16"/>
      <c r="N15" s="17"/>
      <c r="O15" s="17"/>
      <c r="P15" s="17"/>
      <c r="Q15" s="17"/>
      <c r="R15" s="17"/>
      <c r="S15" s="17"/>
    </row>
    <row r="16" spans="3:19" x14ac:dyDescent="0.3">
      <c r="C16" s="12" t="s">
        <v>61</v>
      </c>
      <c r="D16" s="13" t="s">
        <v>69</v>
      </c>
      <c r="E16" s="13" t="s">
        <v>70</v>
      </c>
      <c r="F16" s="13" t="s">
        <v>236</v>
      </c>
      <c r="G16" s="13" t="s">
        <v>237</v>
      </c>
      <c r="H16" s="14">
        <v>-1</v>
      </c>
      <c r="I16" s="14">
        <v>17</v>
      </c>
      <c r="J16" s="14">
        <v>-5</v>
      </c>
      <c r="K16" s="14">
        <v>12</v>
      </c>
      <c r="L16" s="14">
        <v>-3</v>
      </c>
      <c r="M16" s="14">
        <v>7</v>
      </c>
      <c r="N16" s="14">
        <v>196</v>
      </c>
      <c r="O16" s="14">
        <v>265</v>
      </c>
      <c r="P16" s="14">
        <v>1.48</v>
      </c>
      <c r="Q16" s="14">
        <v>2.74</v>
      </c>
      <c r="R16" s="18">
        <f t="shared" ref="R16:S21" si="1">PRODUCT(230,P16)</f>
        <v>340.4</v>
      </c>
      <c r="S16" s="18">
        <f>PRODUCT(230,Q16)</f>
        <v>630.20000000000005</v>
      </c>
    </row>
    <row r="17" spans="3:19" x14ac:dyDescent="0.3">
      <c r="C17" s="12" t="s">
        <v>62</v>
      </c>
      <c r="D17" s="13" t="s">
        <v>69</v>
      </c>
      <c r="E17" s="13" t="s">
        <v>70</v>
      </c>
      <c r="F17" s="13" t="s">
        <v>236</v>
      </c>
      <c r="G17" s="13" t="s">
        <v>237</v>
      </c>
      <c r="H17" s="14">
        <v>-1</v>
      </c>
      <c r="I17" s="14">
        <v>17</v>
      </c>
      <c r="J17" s="14">
        <v>-5</v>
      </c>
      <c r="K17" s="14">
        <v>12</v>
      </c>
      <c r="L17" s="14">
        <v>-3</v>
      </c>
      <c r="M17" s="14">
        <v>7</v>
      </c>
      <c r="N17" s="14">
        <v>196</v>
      </c>
      <c r="O17" s="14">
        <v>265</v>
      </c>
      <c r="P17" s="14">
        <v>1.75</v>
      </c>
      <c r="Q17" s="14">
        <v>3.25</v>
      </c>
      <c r="R17" s="18">
        <f t="shared" si="1"/>
        <v>402.5</v>
      </c>
      <c r="S17" s="18">
        <f t="shared" si="1"/>
        <v>747.5</v>
      </c>
    </row>
    <row r="18" spans="3:19" x14ac:dyDescent="0.3">
      <c r="C18" s="12" t="s">
        <v>63</v>
      </c>
      <c r="D18" s="13" t="s">
        <v>69</v>
      </c>
      <c r="E18" s="13" t="s">
        <v>70</v>
      </c>
      <c r="F18" s="13" t="s">
        <v>236</v>
      </c>
      <c r="G18" s="13" t="s">
        <v>237</v>
      </c>
      <c r="H18" s="14">
        <v>-1</v>
      </c>
      <c r="I18" s="14">
        <v>17</v>
      </c>
      <c r="J18" s="14">
        <v>-5</v>
      </c>
      <c r="K18" s="14">
        <v>12</v>
      </c>
      <c r="L18" s="14">
        <v>-3</v>
      </c>
      <c r="M18" s="14">
        <v>7</v>
      </c>
      <c r="N18" s="14">
        <v>196</v>
      </c>
      <c r="O18" s="14">
        <v>265</v>
      </c>
      <c r="P18" s="14">
        <v>2.4900000000000002</v>
      </c>
      <c r="Q18" s="14">
        <v>4.62</v>
      </c>
      <c r="R18" s="18">
        <f t="shared" si="1"/>
        <v>572.70000000000005</v>
      </c>
      <c r="S18" s="18">
        <f t="shared" si="1"/>
        <v>1062.6000000000001</v>
      </c>
    </row>
    <row r="19" spans="3:19" x14ac:dyDescent="0.3">
      <c r="C19" s="12" t="s">
        <v>64</v>
      </c>
      <c r="D19" s="13" t="s">
        <v>69</v>
      </c>
      <c r="E19" s="13" t="s">
        <v>70</v>
      </c>
      <c r="F19" s="13" t="s">
        <v>236</v>
      </c>
      <c r="G19" s="13" t="s">
        <v>237</v>
      </c>
      <c r="H19" s="14">
        <v>-1</v>
      </c>
      <c r="I19" s="14">
        <v>17</v>
      </c>
      <c r="J19" s="14">
        <v>-5</v>
      </c>
      <c r="K19" s="14">
        <v>12</v>
      </c>
      <c r="L19" s="14">
        <v>-3</v>
      </c>
      <c r="M19" s="14">
        <v>7</v>
      </c>
      <c r="N19" s="14">
        <v>196</v>
      </c>
      <c r="O19" s="14">
        <v>265</v>
      </c>
      <c r="P19" s="14">
        <v>3.35</v>
      </c>
      <c r="Q19" s="14">
        <v>6.22</v>
      </c>
      <c r="R19" s="18">
        <f t="shared" si="1"/>
        <v>770.5</v>
      </c>
      <c r="S19" s="18">
        <f t="shared" si="1"/>
        <v>1430.6</v>
      </c>
    </row>
    <row r="20" spans="3:19" x14ac:dyDescent="0.3">
      <c r="C20" s="12" t="s">
        <v>65</v>
      </c>
      <c r="D20" s="13" t="s">
        <v>69</v>
      </c>
      <c r="E20" s="13" t="s">
        <v>70</v>
      </c>
      <c r="F20" s="13" t="s">
        <v>236</v>
      </c>
      <c r="G20" s="13" t="s">
        <v>237</v>
      </c>
      <c r="H20" s="14">
        <v>-1</v>
      </c>
      <c r="I20" s="14">
        <v>17</v>
      </c>
      <c r="J20" s="14">
        <v>-5</v>
      </c>
      <c r="K20" s="14">
        <v>12</v>
      </c>
      <c r="L20" s="14">
        <v>-3</v>
      </c>
      <c r="M20" s="14">
        <v>7</v>
      </c>
      <c r="N20" s="14">
        <v>196</v>
      </c>
      <c r="O20" s="14">
        <v>265</v>
      </c>
      <c r="P20" s="14">
        <v>4.9400000000000004</v>
      </c>
      <c r="Q20" s="14">
        <v>9.17</v>
      </c>
      <c r="R20" s="18">
        <f t="shared" si="1"/>
        <v>1136.2</v>
      </c>
      <c r="S20" s="18">
        <f t="shared" si="1"/>
        <v>2109.1</v>
      </c>
    </row>
    <row r="21" spans="3:19" x14ac:dyDescent="0.3">
      <c r="C21" s="12" t="s">
        <v>66</v>
      </c>
      <c r="D21" s="13" t="s">
        <v>69</v>
      </c>
      <c r="E21" s="13" t="s">
        <v>70</v>
      </c>
      <c r="F21" s="13" t="s">
        <v>236</v>
      </c>
      <c r="G21" s="13" t="s">
        <v>237</v>
      </c>
      <c r="H21" s="14">
        <v>-1</v>
      </c>
      <c r="I21" s="14">
        <v>17</v>
      </c>
      <c r="J21" s="14">
        <v>-5</v>
      </c>
      <c r="K21" s="14">
        <v>12</v>
      </c>
      <c r="L21" s="14">
        <v>-3</v>
      </c>
      <c r="M21" s="14">
        <v>7</v>
      </c>
      <c r="N21" s="14">
        <v>196</v>
      </c>
      <c r="O21" s="14">
        <v>265</v>
      </c>
      <c r="P21" s="14">
        <v>7.03</v>
      </c>
      <c r="Q21" s="14">
        <v>13.05</v>
      </c>
      <c r="R21" s="18">
        <f t="shared" si="1"/>
        <v>1616.9</v>
      </c>
      <c r="S21" s="18">
        <f t="shared" si="1"/>
        <v>3001.5</v>
      </c>
    </row>
    <row r="24" spans="3:19" x14ac:dyDescent="0.3">
      <c r="F24" s="37" t="s">
        <v>104</v>
      </c>
      <c r="G24" s="37"/>
      <c r="H24" s="37"/>
      <c r="I24" s="37"/>
      <c r="J24" s="32" t="s">
        <v>225</v>
      </c>
    </row>
    <row r="25" spans="3:19" x14ac:dyDescent="0.3">
      <c r="F25" s="37"/>
      <c r="G25" s="37"/>
      <c r="H25" s="37"/>
      <c r="I25" s="37"/>
    </row>
    <row r="26" spans="3:19" x14ac:dyDescent="0.3">
      <c r="F26" s="38" t="s">
        <v>67</v>
      </c>
      <c r="G26" s="38"/>
      <c r="H26" s="38"/>
      <c r="I26" s="38"/>
      <c r="J26" s="38"/>
      <c r="K26" s="38"/>
      <c r="L26" s="38"/>
      <c r="M26" s="38"/>
      <c r="N26" s="38"/>
      <c r="O26" s="38"/>
    </row>
    <row r="28" spans="3:19" x14ac:dyDescent="0.3">
      <c r="D28" s="10" t="s">
        <v>51</v>
      </c>
      <c r="E28" s="10" t="s">
        <v>52</v>
      </c>
      <c r="F28" s="10" t="s">
        <v>228</v>
      </c>
      <c r="G28" s="10" t="s">
        <v>230</v>
      </c>
      <c r="H28" s="10" t="s">
        <v>74</v>
      </c>
      <c r="I28" s="10" t="s">
        <v>75</v>
      </c>
      <c r="J28" s="10" t="s">
        <v>227</v>
      </c>
      <c r="K28" s="10" t="s">
        <v>226</v>
      </c>
      <c r="L28" s="10" t="s">
        <v>53</v>
      </c>
      <c r="M28" s="10" t="s">
        <v>54</v>
      </c>
      <c r="N28" s="10" t="s">
        <v>55</v>
      </c>
      <c r="O28" s="10" t="s">
        <v>56</v>
      </c>
      <c r="P28" s="10" t="s">
        <v>57</v>
      </c>
      <c r="Q28" s="10" t="s">
        <v>58</v>
      </c>
      <c r="R28" s="10" t="s">
        <v>71</v>
      </c>
      <c r="S28" s="10" t="s">
        <v>72</v>
      </c>
    </row>
    <row r="29" spans="3:19" x14ac:dyDescent="0.3">
      <c r="D29" s="11" t="s">
        <v>68</v>
      </c>
      <c r="E29" s="11" t="s">
        <v>68</v>
      </c>
      <c r="F29" s="11" t="s">
        <v>68</v>
      </c>
      <c r="G29" s="11" t="s">
        <v>68</v>
      </c>
      <c r="H29" s="11" t="s">
        <v>68</v>
      </c>
      <c r="I29" s="11" t="s">
        <v>68</v>
      </c>
      <c r="J29" s="11" t="s">
        <v>68</v>
      </c>
      <c r="K29" s="11" t="s">
        <v>68</v>
      </c>
      <c r="L29" s="11" t="s">
        <v>68</v>
      </c>
      <c r="M29" s="11" t="s">
        <v>68</v>
      </c>
      <c r="N29" s="11" t="s">
        <v>59</v>
      </c>
      <c r="O29" s="11" t="s">
        <v>59</v>
      </c>
      <c r="P29" s="11" t="s">
        <v>60</v>
      </c>
      <c r="Q29" s="11" t="s">
        <v>60</v>
      </c>
      <c r="R29" s="11" t="s">
        <v>73</v>
      </c>
      <c r="S29" s="11" t="s">
        <v>73</v>
      </c>
    </row>
    <row r="30" spans="3:19" x14ac:dyDescent="0.3">
      <c r="C30" s="12" t="s">
        <v>4</v>
      </c>
      <c r="D30" s="13" t="s">
        <v>69</v>
      </c>
      <c r="E30" s="13" t="s">
        <v>70</v>
      </c>
      <c r="F30" s="13" t="s">
        <v>236</v>
      </c>
      <c r="G30" s="13" t="s">
        <v>237</v>
      </c>
      <c r="H30" s="34" t="s">
        <v>105</v>
      </c>
      <c r="I30" s="14" t="s">
        <v>129</v>
      </c>
      <c r="J30" s="14" t="s">
        <v>234</v>
      </c>
      <c r="K30" s="28" t="s">
        <v>259</v>
      </c>
      <c r="L30" s="29" t="s">
        <v>88</v>
      </c>
      <c r="M30" s="14" t="str">
        <f t="shared" ref="M30:M35" si="2">" &gt; "&amp;$M$9</f>
        <v xml:space="preserve"> &gt; 7</v>
      </c>
      <c r="N30" s="28" t="s">
        <v>87</v>
      </c>
      <c r="O30" s="28" t="s">
        <v>91</v>
      </c>
      <c r="P30" s="14" t="str">
        <f>" &lt; "&amp;P9</f>
        <v xml:space="preserve"> &lt; 1,26</v>
      </c>
      <c r="Q30" s="30" t="s">
        <v>92</v>
      </c>
      <c r="R30" s="18" t="s">
        <v>131</v>
      </c>
      <c r="S30" s="28" t="s">
        <v>155</v>
      </c>
    </row>
    <row r="31" spans="3:19" x14ac:dyDescent="0.3">
      <c r="C31" s="12" t="s">
        <v>5</v>
      </c>
      <c r="D31" s="13" t="s">
        <v>69</v>
      </c>
      <c r="E31" s="13" t="s">
        <v>70</v>
      </c>
      <c r="F31" s="13" t="s">
        <v>236</v>
      </c>
      <c r="G31" s="13" t="s">
        <v>237</v>
      </c>
      <c r="H31" s="34" t="s">
        <v>105</v>
      </c>
      <c r="I31" s="14" t="s">
        <v>129</v>
      </c>
      <c r="J31" s="14" t="s">
        <v>234</v>
      </c>
      <c r="K31" s="28" t="s">
        <v>259</v>
      </c>
      <c r="L31" s="29" t="s">
        <v>88</v>
      </c>
      <c r="M31" s="14" t="str">
        <f t="shared" si="2"/>
        <v xml:space="preserve"> &gt; 7</v>
      </c>
      <c r="N31" s="28" t="s">
        <v>87</v>
      </c>
      <c r="O31" s="28" t="s">
        <v>91</v>
      </c>
      <c r="P31" s="14" t="str">
        <f>" &lt; "&amp;$P$10</f>
        <v xml:space="preserve"> &lt; 2,01</v>
      </c>
      <c r="Q31" s="30" t="s">
        <v>93</v>
      </c>
      <c r="R31" s="14" t="s">
        <v>132</v>
      </c>
      <c r="S31" s="28" t="s">
        <v>156</v>
      </c>
    </row>
    <row r="32" spans="3:19" x14ac:dyDescent="0.3">
      <c r="C32" s="12" t="s">
        <v>6</v>
      </c>
      <c r="D32" s="13" t="s">
        <v>69</v>
      </c>
      <c r="E32" s="13" t="s">
        <v>70</v>
      </c>
      <c r="F32" s="13" t="s">
        <v>236</v>
      </c>
      <c r="G32" s="13" t="s">
        <v>237</v>
      </c>
      <c r="H32" s="34" t="s">
        <v>105</v>
      </c>
      <c r="I32" s="14" t="s">
        <v>129</v>
      </c>
      <c r="J32" s="14" t="s">
        <v>234</v>
      </c>
      <c r="K32" s="28" t="s">
        <v>259</v>
      </c>
      <c r="L32" s="29" t="s">
        <v>88</v>
      </c>
      <c r="M32" s="14" t="str">
        <f t="shared" si="2"/>
        <v xml:space="preserve"> &gt; 7</v>
      </c>
      <c r="N32" s="28" t="s">
        <v>87</v>
      </c>
      <c r="O32" s="28" t="s">
        <v>91</v>
      </c>
      <c r="P32" s="14" t="str">
        <f>" &lt; "&amp;$P$11</f>
        <v xml:space="preserve"> &lt; 2,57</v>
      </c>
      <c r="Q32" s="30" t="s">
        <v>94</v>
      </c>
      <c r="R32" s="14" t="s">
        <v>133</v>
      </c>
      <c r="S32" s="28" t="s">
        <v>157</v>
      </c>
    </row>
    <row r="33" spans="3:19" x14ac:dyDescent="0.3">
      <c r="C33" s="12" t="s">
        <v>7</v>
      </c>
      <c r="D33" s="13" t="s">
        <v>69</v>
      </c>
      <c r="E33" s="13" t="s">
        <v>70</v>
      </c>
      <c r="F33" s="13" t="s">
        <v>236</v>
      </c>
      <c r="G33" s="13" t="s">
        <v>237</v>
      </c>
      <c r="H33" s="34" t="s">
        <v>105</v>
      </c>
      <c r="I33" s="14" t="s">
        <v>129</v>
      </c>
      <c r="J33" s="14" t="s">
        <v>234</v>
      </c>
      <c r="K33" s="28" t="s">
        <v>259</v>
      </c>
      <c r="L33" s="29" t="s">
        <v>88</v>
      </c>
      <c r="M33" s="14" t="str">
        <f t="shared" si="2"/>
        <v xml:space="preserve"> &gt; 7</v>
      </c>
      <c r="N33" s="28" t="s">
        <v>87</v>
      </c>
      <c r="O33" s="28" t="s">
        <v>91</v>
      </c>
      <c r="P33" s="14" t="str">
        <f>" &lt; "&amp;$P$12</f>
        <v xml:space="preserve"> &lt; 3,37</v>
      </c>
      <c r="Q33" s="30" t="s">
        <v>95</v>
      </c>
      <c r="R33" s="14" t="s">
        <v>134</v>
      </c>
      <c r="S33" s="28" t="s">
        <v>158</v>
      </c>
    </row>
    <row r="34" spans="3:19" x14ac:dyDescent="0.3">
      <c r="C34" s="12" t="s">
        <v>8</v>
      </c>
      <c r="D34" s="13" t="s">
        <v>69</v>
      </c>
      <c r="E34" s="13" t="s">
        <v>70</v>
      </c>
      <c r="F34" s="13" t="s">
        <v>236</v>
      </c>
      <c r="G34" s="13" t="s">
        <v>237</v>
      </c>
      <c r="H34" s="34" t="s">
        <v>105</v>
      </c>
      <c r="I34" s="14" t="s">
        <v>129</v>
      </c>
      <c r="J34" s="14" t="s">
        <v>234</v>
      </c>
      <c r="K34" s="28" t="s">
        <v>259</v>
      </c>
      <c r="L34" s="29" t="s">
        <v>88</v>
      </c>
      <c r="M34" s="14" t="str">
        <f t="shared" si="2"/>
        <v xml:space="preserve"> &gt; 7</v>
      </c>
      <c r="N34" s="28" t="s">
        <v>87</v>
      </c>
      <c r="O34" s="28" t="s">
        <v>91</v>
      </c>
      <c r="P34" s="14" t="str">
        <f>" &lt; "&amp;$P$13</f>
        <v xml:space="preserve"> &lt; 5,29</v>
      </c>
      <c r="Q34" s="30" t="s">
        <v>96</v>
      </c>
      <c r="R34" s="14" t="s">
        <v>135</v>
      </c>
      <c r="S34" s="28" t="s">
        <v>160</v>
      </c>
    </row>
    <row r="35" spans="3:19" x14ac:dyDescent="0.3">
      <c r="C35" s="12" t="s">
        <v>9</v>
      </c>
      <c r="D35" s="13" t="s">
        <v>69</v>
      </c>
      <c r="E35" s="13" t="s">
        <v>70</v>
      </c>
      <c r="F35" s="13" t="s">
        <v>236</v>
      </c>
      <c r="G35" s="13" t="s">
        <v>237</v>
      </c>
      <c r="H35" s="34" t="s">
        <v>105</v>
      </c>
      <c r="I35" s="14" t="s">
        <v>129</v>
      </c>
      <c r="J35" s="14" t="s">
        <v>234</v>
      </c>
      <c r="K35" s="28" t="s">
        <v>259</v>
      </c>
      <c r="L35" s="29" t="s">
        <v>88</v>
      </c>
      <c r="M35" s="14" t="str">
        <f t="shared" si="2"/>
        <v xml:space="preserve"> &gt; 7</v>
      </c>
      <c r="N35" s="28" t="s">
        <v>87</v>
      </c>
      <c r="O35" s="28" t="s">
        <v>91</v>
      </c>
      <c r="P35" s="14" t="str">
        <f>" &lt; "&amp;$P$14</f>
        <v xml:space="preserve"> &lt; 6,89</v>
      </c>
      <c r="Q35" s="30" t="s">
        <v>97</v>
      </c>
      <c r="R35" s="14" t="s">
        <v>136</v>
      </c>
      <c r="S35" s="28" t="s">
        <v>159</v>
      </c>
    </row>
    <row r="36" spans="3:19" x14ac:dyDescent="0.3">
      <c r="D36" s="15"/>
      <c r="E36" s="15"/>
      <c r="F36" s="15"/>
      <c r="G36" s="15"/>
      <c r="H36" s="33"/>
      <c r="I36" s="15"/>
      <c r="J36" s="15"/>
      <c r="K36" s="15"/>
      <c r="L36" s="26"/>
      <c r="M36" s="16"/>
      <c r="N36" s="17"/>
      <c r="O36" s="17"/>
      <c r="P36" s="17"/>
      <c r="Q36" s="17"/>
      <c r="R36" s="31"/>
      <c r="S36" s="17"/>
    </row>
    <row r="37" spans="3:19" x14ac:dyDescent="0.3">
      <c r="C37" s="12" t="s">
        <v>61</v>
      </c>
      <c r="D37" s="13" t="s">
        <v>69</v>
      </c>
      <c r="E37" s="13" t="s">
        <v>70</v>
      </c>
      <c r="F37" s="13" t="s">
        <v>236</v>
      </c>
      <c r="G37" s="13" t="s">
        <v>237</v>
      </c>
      <c r="H37" s="34" t="s">
        <v>105</v>
      </c>
      <c r="I37" s="14" t="s">
        <v>129</v>
      </c>
      <c r="J37" s="14" t="s">
        <v>234</v>
      </c>
      <c r="K37" s="28" t="s">
        <v>259</v>
      </c>
      <c r="L37" s="29" t="s">
        <v>88</v>
      </c>
      <c r="M37" s="14" t="str">
        <f t="shared" ref="M37:M42" si="3">" &gt; "&amp;$M$9</f>
        <v xml:space="preserve"> &gt; 7</v>
      </c>
      <c r="N37" s="28" t="s">
        <v>87</v>
      </c>
      <c r="O37" s="28" t="s">
        <v>91</v>
      </c>
      <c r="P37" s="14" t="str">
        <f>" &lt; "&amp;P16</f>
        <v xml:space="preserve"> &lt; 1,48</v>
      </c>
      <c r="Q37" s="30" t="s">
        <v>260</v>
      </c>
      <c r="R37" s="14" t="s">
        <v>137</v>
      </c>
      <c r="S37" s="28" t="s">
        <v>161</v>
      </c>
    </row>
    <row r="38" spans="3:19" x14ac:dyDescent="0.3">
      <c r="C38" s="12" t="s">
        <v>62</v>
      </c>
      <c r="D38" s="13" t="s">
        <v>69</v>
      </c>
      <c r="E38" s="13" t="s">
        <v>70</v>
      </c>
      <c r="F38" s="13" t="s">
        <v>236</v>
      </c>
      <c r="G38" s="13" t="s">
        <v>237</v>
      </c>
      <c r="H38" s="34" t="s">
        <v>105</v>
      </c>
      <c r="I38" s="14" t="s">
        <v>129</v>
      </c>
      <c r="J38" s="14" t="s">
        <v>234</v>
      </c>
      <c r="K38" s="28" t="s">
        <v>259</v>
      </c>
      <c r="L38" s="29" t="s">
        <v>88</v>
      </c>
      <c r="M38" s="14" t="str">
        <f t="shared" si="3"/>
        <v xml:space="preserve"> &gt; 7</v>
      </c>
      <c r="N38" s="28" t="s">
        <v>87</v>
      </c>
      <c r="O38" s="28" t="s">
        <v>91</v>
      </c>
      <c r="P38" s="14" t="str">
        <f>" &lt; "&amp;$P$17</f>
        <v xml:space="preserve"> &lt; 1,75</v>
      </c>
      <c r="Q38" s="30" t="s">
        <v>99</v>
      </c>
      <c r="R38" s="14" t="s">
        <v>138</v>
      </c>
      <c r="S38" s="28" t="s">
        <v>162</v>
      </c>
    </row>
    <row r="39" spans="3:19" x14ac:dyDescent="0.3">
      <c r="C39" s="12" t="s">
        <v>63</v>
      </c>
      <c r="D39" s="13" t="s">
        <v>69</v>
      </c>
      <c r="E39" s="13" t="s">
        <v>70</v>
      </c>
      <c r="F39" s="13" t="s">
        <v>236</v>
      </c>
      <c r="G39" s="13" t="s">
        <v>237</v>
      </c>
      <c r="H39" s="34" t="s">
        <v>105</v>
      </c>
      <c r="I39" s="14" t="s">
        <v>129</v>
      </c>
      <c r="J39" s="14" t="s">
        <v>234</v>
      </c>
      <c r="K39" s="28" t="s">
        <v>259</v>
      </c>
      <c r="L39" s="29" t="s">
        <v>88</v>
      </c>
      <c r="M39" s="14" t="str">
        <f t="shared" si="3"/>
        <v xml:space="preserve"> &gt; 7</v>
      </c>
      <c r="N39" s="28" t="s">
        <v>87</v>
      </c>
      <c r="O39" s="28" t="s">
        <v>91</v>
      </c>
      <c r="P39" s="14" t="str">
        <f>" &lt; "&amp;$P$18</f>
        <v xml:space="preserve"> &lt; 2,49</v>
      </c>
      <c r="Q39" s="30" t="s">
        <v>100</v>
      </c>
      <c r="R39" s="14" t="s">
        <v>139</v>
      </c>
      <c r="S39" s="28" t="s">
        <v>163</v>
      </c>
    </row>
    <row r="40" spans="3:19" x14ac:dyDescent="0.3">
      <c r="C40" s="12" t="s">
        <v>64</v>
      </c>
      <c r="D40" s="13" t="s">
        <v>69</v>
      </c>
      <c r="E40" s="13" t="s">
        <v>70</v>
      </c>
      <c r="F40" s="13" t="s">
        <v>236</v>
      </c>
      <c r="G40" s="13" t="s">
        <v>237</v>
      </c>
      <c r="H40" s="34" t="s">
        <v>105</v>
      </c>
      <c r="I40" s="14" t="s">
        <v>129</v>
      </c>
      <c r="J40" s="14" t="s">
        <v>234</v>
      </c>
      <c r="K40" s="28" t="s">
        <v>259</v>
      </c>
      <c r="L40" s="29" t="s">
        <v>88</v>
      </c>
      <c r="M40" s="14" t="str">
        <f t="shared" si="3"/>
        <v xml:space="preserve"> &gt; 7</v>
      </c>
      <c r="N40" s="28" t="s">
        <v>87</v>
      </c>
      <c r="O40" s="28" t="s">
        <v>91</v>
      </c>
      <c r="P40" s="14" t="str">
        <f>" &lt; "&amp;$P$19</f>
        <v xml:space="preserve"> &lt; 3,35</v>
      </c>
      <c r="Q40" s="30" t="s">
        <v>101</v>
      </c>
      <c r="R40" s="14" t="s">
        <v>140</v>
      </c>
      <c r="S40" s="28" t="s">
        <v>164</v>
      </c>
    </row>
    <row r="41" spans="3:19" x14ac:dyDescent="0.3">
      <c r="C41" s="12" t="s">
        <v>65</v>
      </c>
      <c r="D41" s="13" t="s">
        <v>69</v>
      </c>
      <c r="E41" s="13" t="s">
        <v>70</v>
      </c>
      <c r="F41" s="13" t="s">
        <v>236</v>
      </c>
      <c r="G41" s="13" t="s">
        <v>237</v>
      </c>
      <c r="H41" s="34" t="s">
        <v>105</v>
      </c>
      <c r="I41" s="14" t="s">
        <v>129</v>
      </c>
      <c r="J41" s="14" t="s">
        <v>234</v>
      </c>
      <c r="K41" s="28" t="s">
        <v>259</v>
      </c>
      <c r="L41" s="29" t="s">
        <v>88</v>
      </c>
      <c r="M41" s="14" t="str">
        <f t="shared" si="3"/>
        <v xml:space="preserve"> &gt; 7</v>
      </c>
      <c r="N41" s="28" t="s">
        <v>87</v>
      </c>
      <c r="O41" s="28" t="s">
        <v>91</v>
      </c>
      <c r="P41" s="14" t="str">
        <f>" &lt; "&amp;$P$20</f>
        <v xml:space="preserve"> &lt; 4,94</v>
      </c>
      <c r="Q41" s="30" t="s">
        <v>102</v>
      </c>
      <c r="R41" s="14" t="s">
        <v>141</v>
      </c>
      <c r="S41" s="28" t="s">
        <v>165</v>
      </c>
    </row>
    <row r="42" spans="3:19" x14ac:dyDescent="0.3">
      <c r="C42" s="12" t="s">
        <v>66</v>
      </c>
      <c r="D42" s="13" t="s">
        <v>69</v>
      </c>
      <c r="E42" s="13" t="s">
        <v>70</v>
      </c>
      <c r="F42" s="13" t="s">
        <v>236</v>
      </c>
      <c r="G42" s="13" t="s">
        <v>237</v>
      </c>
      <c r="H42" s="34" t="s">
        <v>105</v>
      </c>
      <c r="I42" s="14" t="s">
        <v>129</v>
      </c>
      <c r="J42" s="14" t="s">
        <v>234</v>
      </c>
      <c r="K42" s="28" t="s">
        <v>259</v>
      </c>
      <c r="L42" s="29" t="s">
        <v>88</v>
      </c>
      <c r="M42" s="14" t="str">
        <f t="shared" si="3"/>
        <v xml:space="preserve"> &gt; 7</v>
      </c>
      <c r="N42" s="28" t="s">
        <v>87</v>
      </c>
      <c r="O42" s="28" t="s">
        <v>91</v>
      </c>
      <c r="P42" s="14" t="str">
        <f>" &lt; "&amp;$P$21</f>
        <v xml:space="preserve"> &lt; 7,03</v>
      </c>
      <c r="Q42" s="30" t="s">
        <v>103</v>
      </c>
      <c r="R42" s="14" t="s">
        <v>142</v>
      </c>
      <c r="S42" s="28" t="s">
        <v>166</v>
      </c>
    </row>
    <row r="45" spans="3:19" x14ac:dyDescent="0.3">
      <c r="F45" s="37" t="s">
        <v>106</v>
      </c>
      <c r="G45" s="37"/>
      <c r="H45" s="37"/>
      <c r="I45" s="37"/>
      <c r="J45" s="32" t="s">
        <v>121</v>
      </c>
      <c r="M45" s="32"/>
    </row>
    <row r="46" spans="3:19" x14ac:dyDescent="0.3">
      <c r="F46" s="37"/>
      <c r="G46" s="37"/>
      <c r="H46" s="37"/>
      <c r="I46" s="37"/>
    </row>
    <row r="47" spans="3:19" x14ac:dyDescent="0.3">
      <c r="F47" s="38" t="s">
        <v>67</v>
      </c>
      <c r="G47" s="38"/>
      <c r="H47" s="38"/>
      <c r="I47" s="38"/>
      <c r="J47" s="38"/>
      <c r="K47" s="38"/>
      <c r="L47" s="38"/>
      <c r="M47" s="38"/>
      <c r="N47" s="38"/>
      <c r="O47" s="38"/>
    </row>
    <row r="49" spans="3:19" x14ac:dyDescent="0.3">
      <c r="D49" s="10" t="s">
        <v>51</v>
      </c>
      <c r="E49" s="10" t="s">
        <v>52</v>
      </c>
      <c r="F49" s="10" t="s">
        <v>228</v>
      </c>
      <c r="G49" s="10" t="s">
        <v>230</v>
      </c>
      <c r="H49" s="10" t="s">
        <v>74</v>
      </c>
      <c r="I49" s="10" t="s">
        <v>75</v>
      </c>
      <c r="J49" s="10" t="s">
        <v>227</v>
      </c>
      <c r="K49" s="10" t="s">
        <v>226</v>
      </c>
      <c r="L49" s="10" t="s">
        <v>53</v>
      </c>
      <c r="M49" s="10" t="s">
        <v>54</v>
      </c>
      <c r="N49" s="10" t="s">
        <v>55</v>
      </c>
      <c r="O49" s="10" t="s">
        <v>56</v>
      </c>
      <c r="P49" s="10" t="s">
        <v>57</v>
      </c>
      <c r="Q49" s="10" t="s">
        <v>58</v>
      </c>
      <c r="R49" s="10" t="s">
        <v>71</v>
      </c>
      <c r="S49" s="10" t="s">
        <v>72</v>
      </c>
    </row>
    <row r="50" spans="3:19" x14ac:dyDescent="0.3">
      <c r="D50" s="11" t="s">
        <v>68</v>
      </c>
      <c r="E50" s="11" t="s">
        <v>68</v>
      </c>
      <c r="F50" s="11" t="s">
        <v>68</v>
      </c>
      <c r="G50" s="11" t="s">
        <v>68</v>
      </c>
      <c r="H50" s="11" t="s">
        <v>68</v>
      </c>
      <c r="I50" s="11" t="s">
        <v>68</v>
      </c>
      <c r="J50" s="11" t="s">
        <v>68</v>
      </c>
      <c r="K50" s="11" t="s">
        <v>68</v>
      </c>
      <c r="L50" s="11" t="s">
        <v>68</v>
      </c>
      <c r="M50" s="11" t="s">
        <v>68</v>
      </c>
      <c r="N50" s="11" t="s">
        <v>59</v>
      </c>
      <c r="O50" s="11" t="s">
        <v>59</v>
      </c>
      <c r="P50" s="11" t="s">
        <v>60</v>
      </c>
      <c r="Q50" s="11" t="s">
        <v>60</v>
      </c>
      <c r="R50" s="11" t="s">
        <v>73</v>
      </c>
      <c r="S50" s="11" t="s">
        <v>73</v>
      </c>
    </row>
    <row r="51" spans="3:19" x14ac:dyDescent="0.3">
      <c r="C51" s="12" t="s">
        <v>4</v>
      </c>
      <c r="D51" s="13" t="s">
        <v>69</v>
      </c>
      <c r="E51" s="13" t="s">
        <v>70</v>
      </c>
      <c r="F51" s="13" t="s">
        <v>236</v>
      </c>
      <c r="G51" s="13" t="s">
        <v>237</v>
      </c>
      <c r="H51" s="14" t="s">
        <v>243</v>
      </c>
      <c r="I51" s="28" t="s">
        <v>130</v>
      </c>
      <c r="J51" s="28">
        <v>-5</v>
      </c>
      <c r="K51" s="14" t="s">
        <v>235</v>
      </c>
      <c r="L51" s="29" t="s">
        <v>88</v>
      </c>
      <c r="M51" s="14" t="str">
        <f t="shared" ref="M51:M56" si="4">" &gt; "&amp;$M$9</f>
        <v xml:space="preserve"> &gt; 7</v>
      </c>
      <c r="N51" s="28" t="s">
        <v>87</v>
      </c>
      <c r="O51" s="28" t="s">
        <v>91</v>
      </c>
      <c r="P51" s="28" t="str">
        <f>" &gt; "&amp;P9</f>
        <v xml:space="preserve"> &gt; 1,26</v>
      </c>
      <c r="Q51" s="27" t="s">
        <v>109</v>
      </c>
      <c r="R51" s="35" t="s">
        <v>167</v>
      </c>
      <c r="S51" s="14" t="s">
        <v>143</v>
      </c>
    </row>
    <row r="52" spans="3:19" x14ac:dyDescent="0.3">
      <c r="C52" s="12" t="s">
        <v>5</v>
      </c>
      <c r="D52" s="13" t="s">
        <v>69</v>
      </c>
      <c r="E52" s="13" t="s">
        <v>70</v>
      </c>
      <c r="F52" s="13" t="s">
        <v>236</v>
      </c>
      <c r="G52" s="13" t="s">
        <v>237</v>
      </c>
      <c r="H52" s="14" t="s">
        <v>243</v>
      </c>
      <c r="I52" s="28" t="s">
        <v>130</v>
      </c>
      <c r="J52" s="28">
        <v>-5</v>
      </c>
      <c r="K52" s="14" t="s">
        <v>235</v>
      </c>
      <c r="L52" s="29" t="s">
        <v>88</v>
      </c>
      <c r="M52" s="14" t="str">
        <f t="shared" si="4"/>
        <v xml:space="preserve"> &gt; 7</v>
      </c>
      <c r="N52" s="28" t="s">
        <v>87</v>
      </c>
      <c r="O52" s="28" t="s">
        <v>91</v>
      </c>
      <c r="P52" s="28" t="str">
        <f>" &gt; "&amp;$P$10</f>
        <v xml:space="preserve"> &gt; 2,01</v>
      </c>
      <c r="Q52" s="27" t="s">
        <v>110</v>
      </c>
      <c r="R52" s="28" t="s">
        <v>168</v>
      </c>
      <c r="S52" s="14" t="s">
        <v>144</v>
      </c>
    </row>
    <row r="53" spans="3:19" x14ac:dyDescent="0.3">
      <c r="C53" s="12" t="s">
        <v>6</v>
      </c>
      <c r="D53" s="13" t="s">
        <v>69</v>
      </c>
      <c r="E53" s="13" t="s">
        <v>70</v>
      </c>
      <c r="F53" s="13" t="s">
        <v>236</v>
      </c>
      <c r="G53" s="13" t="s">
        <v>237</v>
      </c>
      <c r="H53" s="14" t="s">
        <v>243</v>
      </c>
      <c r="I53" s="28" t="s">
        <v>130</v>
      </c>
      <c r="J53" s="28">
        <v>-5</v>
      </c>
      <c r="K53" s="14" t="s">
        <v>235</v>
      </c>
      <c r="L53" s="29" t="s">
        <v>88</v>
      </c>
      <c r="M53" s="14" t="str">
        <f t="shared" si="4"/>
        <v xml:space="preserve"> &gt; 7</v>
      </c>
      <c r="N53" s="28" t="s">
        <v>87</v>
      </c>
      <c r="O53" s="28" t="s">
        <v>91</v>
      </c>
      <c r="P53" s="28" t="str">
        <f>" &gt; "&amp;$P$11</f>
        <v xml:space="preserve"> &gt; 2,57</v>
      </c>
      <c r="Q53" s="27" t="s">
        <v>111</v>
      </c>
      <c r="R53" s="28" t="s">
        <v>169</v>
      </c>
      <c r="S53" s="14" t="s">
        <v>145</v>
      </c>
    </row>
    <row r="54" spans="3:19" x14ac:dyDescent="0.3">
      <c r="C54" s="12" t="s">
        <v>7</v>
      </c>
      <c r="D54" s="13" t="s">
        <v>69</v>
      </c>
      <c r="E54" s="13" t="s">
        <v>70</v>
      </c>
      <c r="F54" s="13" t="s">
        <v>236</v>
      </c>
      <c r="G54" s="13" t="s">
        <v>237</v>
      </c>
      <c r="H54" s="14" t="s">
        <v>243</v>
      </c>
      <c r="I54" s="28" t="s">
        <v>130</v>
      </c>
      <c r="J54" s="28">
        <v>-5</v>
      </c>
      <c r="K54" s="14" t="s">
        <v>235</v>
      </c>
      <c r="L54" s="29" t="s">
        <v>88</v>
      </c>
      <c r="M54" s="14" t="str">
        <f t="shared" si="4"/>
        <v xml:space="preserve"> &gt; 7</v>
      </c>
      <c r="N54" s="28" t="s">
        <v>87</v>
      </c>
      <c r="O54" s="28" t="s">
        <v>91</v>
      </c>
      <c r="P54" s="28" t="str">
        <f>" &gt; "&amp;$P$12</f>
        <v xml:space="preserve"> &gt; 3,37</v>
      </c>
      <c r="Q54" s="27" t="s">
        <v>112</v>
      </c>
      <c r="R54" s="28" t="s">
        <v>170</v>
      </c>
      <c r="S54" s="14" t="s">
        <v>146</v>
      </c>
    </row>
    <row r="55" spans="3:19" x14ac:dyDescent="0.3">
      <c r="C55" s="12" t="s">
        <v>8</v>
      </c>
      <c r="D55" s="13" t="s">
        <v>69</v>
      </c>
      <c r="E55" s="13" t="s">
        <v>70</v>
      </c>
      <c r="F55" s="13" t="s">
        <v>236</v>
      </c>
      <c r="G55" s="13" t="s">
        <v>237</v>
      </c>
      <c r="H55" s="14" t="s">
        <v>243</v>
      </c>
      <c r="I55" s="28" t="s">
        <v>130</v>
      </c>
      <c r="J55" s="28">
        <v>-5</v>
      </c>
      <c r="K55" s="14" t="s">
        <v>235</v>
      </c>
      <c r="L55" s="29" t="s">
        <v>88</v>
      </c>
      <c r="M55" s="14" t="str">
        <f t="shared" si="4"/>
        <v xml:space="preserve"> &gt; 7</v>
      </c>
      <c r="N55" s="28" t="s">
        <v>87</v>
      </c>
      <c r="O55" s="28" t="s">
        <v>91</v>
      </c>
      <c r="P55" s="28" t="str">
        <f>" &gt; "&amp;$P$13</f>
        <v xml:space="preserve"> &gt; 5,29</v>
      </c>
      <c r="Q55" s="27" t="s">
        <v>113</v>
      </c>
      <c r="R55" s="28" t="s">
        <v>171</v>
      </c>
      <c r="S55" s="14" t="s">
        <v>147</v>
      </c>
    </row>
    <row r="56" spans="3:19" x14ac:dyDescent="0.3">
      <c r="C56" s="12" t="s">
        <v>9</v>
      </c>
      <c r="D56" s="13" t="s">
        <v>69</v>
      </c>
      <c r="E56" s="13" t="s">
        <v>70</v>
      </c>
      <c r="F56" s="13" t="s">
        <v>236</v>
      </c>
      <c r="G56" s="13" t="s">
        <v>237</v>
      </c>
      <c r="H56" s="14" t="s">
        <v>243</v>
      </c>
      <c r="I56" s="28" t="s">
        <v>130</v>
      </c>
      <c r="J56" s="28">
        <v>-5</v>
      </c>
      <c r="K56" s="14" t="s">
        <v>235</v>
      </c>
      <c r="L56" s="29" t="s">
        <v>88</v>
      </c>
      <c r="M56" s="14" t="str">
        <f t="shared" si="4"/>
        <v xml:space="preserve"> &gt; 7</v>
      </c>
      <c r="N56" s="28" t="s">
        <v>87</v>
      </c>
      <c r="O56" s="28" t="s">
        <v>91</v>
      </c>
      <c r="P56" s="28" t="str">
        <f>" &gt; "&amp;$P$14</f>
        <v xml:space="preserve"> &gt; 6,89</v>
      </c>
      <c r="Q56" s="27" t="s">
        <v>114</v>
      </c>
      <c r="R56" s="28" t="s">
        <v>172</v>
      </c>
      <c r="S56" s="14" t="s">
        <v>148</v>
      </c>
    </row>
    <row r="57" spans="3:19" x14ac:dyDescent="0.3">
      <c r="D57" s="15"/>
      <c r="E57" s="15"/>
      <c r="F57" s="15"/>
      <c r="G57" s="15"/>
      <c r="H57" s="15"/>
      <c r="I57" s="15"/>
      <c r="J57" s="15"/>
      <c r="K57" s="15"/>
      <c r="L57" s="26"/>
      <c r="M57" s="16"/>
      <c r="N57" s="17"/>
      <c r="O57" s="17"/>
      <c r="P57" s="17"/>
      <c r="Q57" s="17"/>
      <c r="R57" s="31"/>
      <c r="S57" s="17"/>
    </row>
    <row r="58" spans="3:19" x14ac:dyDescent="0.3">
      <c r="C58" s="12" t="s">
        <v>61</v>
      </c>
      <c r="D58" s="13" t="s">
        <v>69</v>
      </c>
      <c r="E58" s="13" t="s">
        <v>70</v>
      </c>
      <c r="F58" s="13" t="s">
        <v>236</v>
      </c>
      <c r="G58" s="13" t="s">
        <v>237</v>
      </c>
      <c r="H58" s="14" t="s">
        <v>243</v>
      </c>
      <c r="I58" s="28" t="s">
        <v>130</v>
      </c>
      <c r="J58" s="28">
        <v>-5</v>
      </c>
      <c r="K58" s="14" t="s">
        <v>235</v>
      </c>
      <c r="L58" s="29" t="s">
        <v>88</v>
      </c>
      <c r="M58" s="14" t="str">
        <f t="shared" ref="M58:M63" si="5">" &gt; "&amp;$M$9</f>
        <v xml:space="preserve"> &gt; 7</v>
      </c>
      <c r="N58" s="28" t="s">
        <v>87</v>
      </c>
      <c r="O58" s="28" t="s">
        <v>91</v>
      </c>
      <c r="P58" s="28" t="str">
        <f>" &gt; "&amp;P16</f>
        <v xml:space="preserve"> &gt; 1,48</v>
      </c>
      <c r="Q58" s="27" t="s">
        <v>261</v>
      </c>
      <c r="R58" s="28" t="s">
        <v>173</v>
      </c>
      <c r="S58" s="14" t="s">
        <v>149</v>
      </c>
    </row>
    <row r="59" spans="3:19" x14ac:dyDescent="0.3">
      <c r="C59" s="12" t="s">
        <v>62</v>
      </c>
      <c r="D59" s="13" t="s">
        <v>69</v>
      </c>
      <c r="E59" s="13" t="s">
        <v>70</v>
      </c>
      <c r="F59" s="13" t="s">
        <v>236</v>
      </c>
      <c r="G59" s="13" t="s">
        <v>237</v>
      </c>
      <c r="H59" s="14" t="s">
        <v>243</v>
      </c>
      <c r="I59" s="28" t="s">
        <v>130</v>
      </c>
      <c r="J59" s="28">
        <v>-5</v>
      </c>
      <c r="K59" s="14" t="s">
        <v>235</v>
      </c>
      <c r="L59" s="29" t="s">
        <v>88</v>
      </c>
      <c r="M59" s="14" t="str">
        <f t="shared" si="5"/>
        <v xml:space="preserve"> &gt; 7</v>
      </c>
      <c r="N59" s="28" t="s">
        <v>87</v>
      </c>
      <c r="O59" s="28" t="s">
        <v>91</v>
      </c>
      <c r="P59" s="28" t="str">
        <f>" &gt; "&amp;$P$17</f>
        <v xml:space="preserve"> &gt; 1,75</v>
      </c>
      <c r="Q59" s="27" t="s">
        <v>116</v>
      </c>
      <c r="R59" s="28" t="s">
        <v>174</v>
      </c>
      <c r="S59" s="14" t="s">
        <v>150</v>
      </c>
    </row>
    <row r="60" spans="3:19" x14ac:dyDescent="0.3">
      <c r="C60" s="12" t="s">
        <v>63</v>
      </c>
      <c r="D60" s="13" t="s">
        <v>69</v>
      </c>
      <c r="E60" s="13" t="s">
        <v>70</v>
      </c>
      <c r="F60" s="13" t="s">
        <v>236</v>
      </c>
      <c r="G60" s="13" t="s">
        <v>237</v>
      </c>
      <c r="H60" s="14" t="s">
        <v>243</v>
      </c>
      <c r="I60" s="28" t="s">
        <v>130</v>
      </c>
      <c r="J60" s="28">
        <v>-5</v>
      </c>
      <c r="K60" s="14" t="s">
        <v>235</v>
      </c>
      <c r="L60" s="29" t="s">
        <v>88</v>
      </c>
      <c r="M60" s="14" t="str">
        <f t="shared" si="5"/>
        <v xml:space="preserve"> &gt; 7</v>
      </c>
      <c r="N60" s="28" t="s">
        <v>87</v>
      </c>
      <c r="O60" s="28" t="s">
        <v>91</v>
      </c>
      <c r="P60" s="28" t="str">
        <f>" &gt; "&amp;$P$18</f>
        <v xml:space="preserve"> &gt; 2,49</v>
      </c>
      <c r="Q60" s="27" t="s">
        <v>117</v>
      </c>
      <c r="R60" s="28" t="s">
        <v>175</v>
      </c>
      <c r="S60" s="14" t="s">
        <v>151</v>
      </c>
    </row>
    <row r="61" spans="3:19" x14ac:dyDescent="0.3">
      <c r="C61" s="12" t="s">
        <v>64</v>
      </c>
      <c r="D61" s="13" t="s">
        <v>69</v>
      </c>
      <c r="E61" s="13" t="s">
        <v>70</v>
      </c>
      <c r="F61" s="13" t="s">
        <v>236</v>
      </c>
      <c r="G61" s="13" t="s">
        <v>237</v>
      </c>
      <c r="H61" s="14" t="s">
        <v>243</v>
      </c>
      <c r="I61" s="28" t="s">
        <v>130</v>
      </c>
      <c r="J61" s="28">
        <v>-5</v>
      </c>
      <c r="K61" s="14" t="s">
        <v>235</v>
      </c>
      <c r="L61" s="29" t="s">
        <v>88</v>
      </c>
      <c r="M61" s="14" t="str">
        <f t="shared" si="5"/>
        <v xml:space="preserve"> &gt; 7</v>
      </c>
      <c r="N61" s="28" t="s">
        <v>87</v>
      </c>
      <c r="O61" s="28" t="s">
        <v>91</v>
      </c>
      <c r="P61" s="28" t="str">
        <f>" &gt; "&amp;$P$19</f>
        <v xml:space="preserve"> &gt; 3,35</v>
      </c>
      <c r="Q61" s="27" t="s">
        <v>118</v>
      </c>
      <c r="R61" s="28" t="s">
        <v>176</v>
      </c>
      <c r="S61" s="14" t="s">
        <v>152</v>
      </c>
    </row>
    <row r="62" spans="3:19" x14ac:dyDescent="0.3">
      <c r="C62" s="12" t="s">
        <v>65</v>
      </c>
      <c r="D62" s="13" t="s">
        <v>69</v>
      </c>
      <c r="E62" s="13" t="s">
        <v>70</v>
      </c>
      <c r="F62" s="13" t="s">
        <v>236</v>
      </c>
      <c r="G62" s="13" t="s">
        <v>237</v>
      </c>
      <c r="H62" s="14" t="s">
        <v>243</v>
      </c>
      <c r="I62" s="28" t="s">
        <v>130</v>
      </c>
      <c r="J62" s="28">
        <v>-5</v>
      </c>
      <c r="K62" s="14" t="s">
        <v>235</v>
      </c>
      <c r="L62" s="29" t="s">
        <v>88</v>
      </c>
      <c r="M62" s="14" t="str">
        <f t="shared" si="5"/>
        <v xml:space="preserve"> &gt; 7</v>
      </c>
      <c r="N62" s="28" t="s">
        <v>87</v>
      </c>
      <c r="O62" s="28" t="s">
        <v>91</v>
      </c>
      <c r="P62" s="28" t="str">
        <f>" &gt; "&amp;$P$20</f>
        <v xml:space="preserve"> &gt; 4,94</v>
      </c>
      <c r="Q62" s="27" t="s">
        <v>119</v>
      </c>
      <c r="R62" s="28" t="s">
        <v>177</v>
      </c>
      <c r="S62" s="14" t="s">
        <v>153</v>
      </c>
    </row>
    <row r="63" spans="3:19" x14ac:dyDescent="0.3">
      <c r="C63" s="12" t="s">
        <v>66</v>
      </c>
      <c r="D63" s="13" t="s">
        <v>69</v>
      </c>
      <c r="E63" s="13" t="s">
        <v>70</v>
      </c>
      <c r="F63" s="13" t="s">
        <v>236</v>
      </c>
      <c r="G63" s="13" t="s">
        <v>237</v>
      </c>
      <c r="H63" s="14" t="s">
        <v>243</v>
      </c>
      <c r="I63" s="28" t="s">
        <v>130</v>
      </c>
      <c r="J63" s="28">
        <v>-5</v>
      </c>
      <c r="K63" s="14" t="s">
        <v>235</v>
      </c>
      <c r="L63" s="29" t="s">
        <v>88</v>
      </c>
      <c r="M63" s="14" t="str">
        <f t="shared" si="5"/>
        <v xml:space="preserve"> &gt; 7</v>
      </c>
      <c r="N63" s="28" t="s">
        <v>87</v>
      </c>
      <c r="O63" s="28" t="s">
        <v>91</v>
      </c>
      <c r="P63" s="28" t="str">
        <f>" &gt; "&amp;$P$21</f>
        <v xml:space="preserve"> &gt; 7,03</v>
      </c>
      <c r="Q63" s="27" t="s">
        <v>120</v>
      </c>
      <c r="R63" s="28" t="s">
        <v>178</v>
      </c>
      <c r="S63" s="14" t="s">
        <v>154</v>
      </c>
    </row>
    <row r="66" spans="3:19" x14ac:dyDescent="0.3">
      <c r="F66" s="37" t="s">
        <v>245</v>
      </c>
      <c r="G66" s="37"/>
      <c r="H66" s="37"/>
      <c r="I66" s="37"/>
      <c r="J66" s="32" t="s">
        <v>246</v>
      </c>
      <c r="M66" s="32"/>
    </row>
    <row r="67" spans="3:19" x14ac:dyDescent="0.3">
      <c r="F67" s="37"/>
      <c r="G67" s="37"/>
      <c r="H67" s="37"/>
      <c r="I67" s="37"/>
    </row>
    <row r="68" spans="3:19" x14ac:dyDescent="0.3">
      <c r="F68" s="38" t="s">
        <v>67</v>
      </c>
      <c r="G68" s="38"/>
      <c r="H68" s="38"/>
      <c r="I68" s="38"/>
      <c r="J68" s="38"/>
      <c r="K68" s="38"/>
      <c r="L68" s="38"/>
      <c r="M68" s="38"/>
      <c r="N68" s="38"/>
      <c r="O68" s="38"/>
    </row>
    <row r="70" spans="3:19" x14ac:dyDescent="0.3">
      <c r="D70" s="10" t="s">
        <v>51</v>
      </c>
      <c r="E70" s="10" t="s">
        <v>52</v>
      </c>
      <c r="F70" s="10" t="s">
        <v>228</v>
      </c>
      <c r="G70" s="10" t="s">
        <v>230</v>
      </c>
      <c r="H70" s="10" t="s">
        <v>74</v>
      </c>
      <c r="I70" s="10" t="s">
        <v>75</v>
      </c>
      <c r="J70" s="10" t="s">
        <v>227</v>
      </c>
      <c r="K70" s="10" t="s">
        <v>226</v>
      </c>
      <c r="L70" s="10" t="s">
        <v>53</v>
      </c>
      <c r="M70" s="10" t="s">
        <v>54</v>
      </c>
      <c r="N70" s="10" t="s">
        <v>55</v>
      </c>
      <c r="O70" s="10" t="s">
        <v>56</v>
      </c>
      <c r="P70" s="10" t="s">
        <v>57</v>
      </c>
      <c r="Q70" s="10" t="s">
        <v>58</v>
      </c>
      <c r="R70" s="10" t="s">
        <v>71</v>
      </c>
      <c r="S70" s="10" t="s">
        <v>72</v>
      </c>
    </row>
    <row r="71" spans="3:19" x14ac:dyDescent="0.3">
      <c r="D71" s="11" t="s">
        <v>68</v>
      </c>
      <c r="E71" s="11" t="s">
        <v>68</v>
      </c>
      <c r="F71" s="11" t="s">
        <v>68</v>
      </c>
      <c r="G71" s="11" t="s">
        <v>68</v>
      </c>
      <c r="H71" s="11" t="s">
        <v>68</v>
      </c>
      <c r="I71" s="11" t="s">
        <v>68</v>
      </c>
      <c r="J71" s="11" t="s">
        <v>68</v>
      </c>
      <c r="K71" s="11" t="s">
        <v>68</v>
      </c>
      <c r="L71" s="11" t="s">
        <v>68</v>
      </c>
      <c r="M71" s="11" t="s">
        <v>68</v>
      </c>
      <c r="N71" s="11" t="s">
        <v>59</v>
      </c>
      <c r="O71" s="11" t="s">
        <v>59</v>
      </c>
      <c r="P71" s="11" t="s">
        <v>60</v>
      </c>
      <c r="Q71" s="11" t="s">
        <v>60</v>
      </c>
      <c r="R71" s="11" t="s">
        <v>73</v>
      </c>
      <c r="S71" s="11" t="s">
        <v>73</v>
      </c>
    </row>
    <row r="72" spans="3:19" x14ac:dyDescent="0.3">
      <c r="C72" s="12" t="s">
        <v>4</v>
      </c>
      <c r="D72" s="13" t="s">
        <v>69</v>
      </c>
      <c r="E72" s="13" t="s">
        <v>70</v>
      </c>
      <c r="F72" s="13" t="s">
        <v>236</v>
      </c>
      <c r="G72" s="13" t="s">
        <v>237</v>
      </c>
      <c r="H72" s="34" t="s">
        <v>105</v>
      </c>
      <c r="I72" s="28" t="s">
        <v>130</v>
      </c>
      <c r="J72" s="28">
        <v>-5</v>
      </c>
      <c r="K72" s="14" t="s">
        <v>235</v>
      </c>
      <c r="L72" s="29" t="s">
        <v>88</v>
      </c>
      <c r="M72" s="14" t="str">
        <f t="shared" ref="M72:M77" si="6">" &gt; "&amp;$M$9</f>
        <v xml:space="preserve"> &gt; 7</v>
      </c>
      <c r="N72" s="28" t="s">
        <v>87</v>
      </c>
      <c r="O72" s="28" t="s">
        <v>91</v>
      </c>
      <c r="P72" s="28" t="s">
        <v>247</v>
      </c>
      <c r="Q72" s="30" t="s">
        <v>92</v>
      </c>
      <c r="R72" s="35" t="s">
        <v>167</v>
      </c>
      <c r="S72" s="28" t="s">
        <v>155</v>
      </c>
    </row>
    <row r="73" spans="3:19" x14ac:dyDescent="0.3">
      <c r="C73" s="12" t="s">
        <v>5</v>
      </c>
      <c r="D73" s="13" t="s">
        <v>69</v>
      </c>
      <c r="E73" s="13" t="s">
        <v>70</v>
      </c>
      <c r="F73" s="13" t="s">
        <v>236</v>
      </c>
      <c r="G73" s="13" t="s">
        <v>237</v>
      </c>
      <c r="H73" s="34" t="s">
        <v>105</v>
      </c>
      <c r="I73" s="28" t="s">
        <v>130</v>
      </c>
      <c r="J73" s="28">
        <v>-5</v>
      </c>
      <c r="K73" s="14" t="s">
        <v>235</v>
      </c>
      <c r="L73" s="29" t="s">
        <v>88</v>
      </c>
      <c r="M73" s="14" t="str">
        <f t="shared" si="6"/>
        <v xml:space="preserve"> &gt; 7</v>
      </c>
      <c r="N73" s="28" t="s">
        <v>87</v>
      </c>
      <c r="O73" s="28" t="s">
        <v>91</v>
      </c>
      <c r="P73" s="28" t="s">
        <v>248</v>
      </c>
      <c r="Q73" s="30" t="s">
        <v>93</v>
      </c>
      <c r="R73" s="28" t="s">
        <v>168</v>
      </c>
      <c r="S73" s="28" t="s">
        <v>156</v>
      </c>
    </row>
    <row r="74" spans="3:19" x14ac:dyDescent="0.3">
      <c r="C74" s="12" t="s">
        <v>6</v>
      </c>
      <c r="D74" s="13" t="s">
        <v>69</v>
      </c>
      <c r="E74" s="13" t="s">
        <v>70</v>
      </c>
      <c r="F74" s="13" t="s">
        <v>236</v>
      </c>
      <c r="G74" s="13" t="s">
        <v>237</v>
      </c>
      <c r="H74" s="34" t="s">
        <v>105</v>
      </c>
      <c r="I74" s="28" t="s">
        <v>130</v>
      </c>
      <c r="J74" s="28">
        <v>-5</v>
      </c>
      <c r="K74" s="14" t="s">
        <v>235</v>
      </c>
      <c r="L74" s="29" t="s">
        <v>88</v>
      </c>
      <c r="M74" s="14" t="str">
        <f t="shared" si="6"/>
        <v xml:space="preserve"> &gt; 7</v>
      </c>
      <c r="N74" s="28" t="s">
        <v>87</v>
      </c>
      <c r="O74" s="28" t="s">
        <v>91</v>
      </c>
      <c r="P74" s="28" t="s">
        <v>249</v>
      </c>
      <c r="Q74" s="30" t="s">
        <v>94</v>
      </c>
      <c r="R74" s="28" t="s">
        <v>169</v>
      </c>
      <c r="S74" s="28" t="s">
        <v>157</v>
      </c>
    </row>
    <row r="75" spans="3:19" x14ac:dyDescent="0.3">
      <c r="C75" s="12" t="s">
        <v>7</v>
      </c>
      <c r="D75" s="13" t="s">
        <v>69</v>
      </c>
      <c r="E75" s="13" t="s">
        <v>70</v>
      </c>
      <c r="F75" s="13" t="s">
        <v>236</v>
      </c>
      <c r="G75" s="13" t="s">
        <v>237</v>
      </c>
      <c r="H75" s="34" t="s">
        <v>105</v>
      </c>
      <c r="I75" s="28" t="s">
        <v>130</v>
      </c>
      <c r="J75" s="28">
        <v>-5</v>
      </c>
      <c r="K75" s="14" t="s">
        <v>235</v>
      </c>
      <c r="L75" s="29" t="s">
        <v>88</v>
      </c>
      <c r="M75" s="14" t="str">
        <f t="shared" si="6"/>
        <v xml:space="preserve"> &gt; 7</v>
      </c>
      <c r="N75" s="28" t="s">
        <v>87</v>
      </c>
      <c r="O75" s="28" t="s">
        <v>91</v>
      </c>
      <c r="P75" s="28" t="s">
        <v>250</v>
      </c>
      <c r="Q75" s="30" t="s">
        <v>95</v>
      </c>
      <c r="R75" s="28" t="s">
        <v>170</v>
      </c>
      <c r="S75" s="28" t="s">
        <v>158</v>
      </c>
    </row>
    <row r="76" spans="3:19" x14ac:dyDescent="0.3">
      <c r="C76" s="12" t="s">
        <v>8</v>
      </c>
      <c r="D76" s="13" t="s">
        <v>69</v>
      </c>
      <c r="E76" s="13" t="s">
        <v>70</v>
      </c>
      <c r="F76" s="13" t="s">
        <v>236</v>
      </c>
      <c r="G76" s="13" t="s">
        <v>237</v>
      </c>
      <c r="H76" s="34" t="s">
        <v>105</v>
      </c>
      <c r="I76" s="28" t="s">
        <v>130</v>
      </c>
      <c r="J76" s="28">
        <v>-5</v>
      </c>
      <c r="K76" s="14" t="s">
        <v>235</v>
      </c>
      <c r="L76" s="29" t="s">
        <v>88</v>
      </c>
      <c r="M76" s="14" t="str">
        <f t="shared" si="6"/>
        <v xml:space="preserve"> &gt; 7</v>
      </c>
      <c r="N76" s="28" t="s">
        <v>87</v>
      </c>
      <c r="O76" s="28" t="s">
        <v>91</v>
      </c>
      <c r="P76" s="28" t="s">
        <v>251</v>
      </c>
      <c r="Q76" s="30" t="s">
        <v>96</v>
      </c>
      <c r="R76" s="28" t="s">
        <v>171</v>
      </c>
      <c r="S76" s="28" t="s">
        <v>160</v>
      </c>
    </row>
    <row r="77" spans="3:19" x14ac:dyDescent="0.3">
      <c r="C77" s="12" t="s">
        <v>9</v>
      </c>
      <c r="D77" s="13" t="s">
        <v>69</v>
      </c>
      <c r="E77" s="13" t="s">
        <v>70</v>
      </c>
      <c r="F77" s="13" t="s">
        <v>236</v>
      </c>
      <c r="G77" s="13" t="s">
        <v>237</v>
      </c>
      <c r="H77" s="34" t="s">
        <v>105</v>
      </c>
      <c r="I77" s="28" t="s">
        <v>130</v>
      </c>
      <c r="J77" s="28">
        <v>-5</v>
      </c>
      <c r="K77" s="14" t="s">
        <v>235</v>
      </c>
      <c r="L77" s="29" t="s">
        <v>88</v>
      </c>
      <c r="M77" s="14" t="str">
        <f t="shared" si="6"/>
        <v xml:space="preserve"> &gt; 7</v>
      </c>
      <c r="N77" s="28" t="s">
        <v>87</v>
      </c>
      <c r="O77" s="28" t="s">
        <v>91</v>
      </c>
      <c r="P77" s="28" t="s">
        <v>252</v>
      </c>
      <c r="Q77" s="30" t="s">
        <v>97</v>
      </c>
      <c r="R77" s="28" t="s">
        <v>172</v>
      </c>
      <c r="S77" s="28" t="s">
        <v>159</v>
      </c>
    </row>
    <row r="78" spans="3:19" x14ac:dyDescent="0.3">
      <c r="D78" s="15"/>
      <c r="E78" s="15"/>
      <c r="F78" s="15"/>
      <c r="G78" s="15"/>
      <c r="H78" s="33"/>
      <c r="I78" s="15"/>
      <c r="J78" s="15"/>
      <c r="K78" s="15"/>
      <c r="L78" s="26"/>
      <c r="M78" s="16"/>
      <c r="N78" s="17"/>
      <c r="O78" s="17"/>
      <c r="P78" s="17"/>
      <c r="Q78" s="17"/>
      <c r="R78" s="31"/>
      <c r="S78" s="17"/>
    </row>
    <row r="79" spans="3:19" x14ac:dyDescent="0.3">
      <c r="C79" s="12" t="s">
        <v>61</v>
      </c>
      <c r="D79" s="13" t="s">
        <v>69</v>
      </c>
      <c r="E79" s="13" t="s">
        <v>70</v>
      </c>
      <c r="F79" s="13" t="s">
        <v>236</v>
      </c>
      <c r="G79" s="13" t="s">
        <v>237</v>
      </c>
      <c r="H79" s="34" t="s">
        <v>105</v>
      </c>
      <c r="I79" s="28" t="s">
        <v>130</v>
      </c>
      <c r="J79" s="28">
        <v>-5</v>
      </c>
      <c r="K79" s="14" t="s">
        <v>235</v>
      </c>
      <c r="L79" s="29" t="s">
        <v>88</v>
      </c>
      <c r="M79" s="14" t="str">
        <f t="shared" ref="M79:M84" si="7">" &gt; "&amp;$M$9</f>
        <v xml:space="preserve"> &gt; 7</v>
      </c>
      <c r="N79" s="28" t="s">
        <v>87</v>
      </c>
      <c r="O79" s="28" t="s">
        <v>91</v>
      </c>
      <c r="P79" s="28" t="s">
        <v>253</v>
      </c>
      <c r="Q79" s="30" t="s">
        <v>260</v>
      </c>
      <c r="R79" s="28" t="s">
        <v>173</v>
      </c>
      <c r="S79" s="28" t="s">
        <v>161</v>
      </c>
    </row>
    <row r="80" spans="3:19" x14ac:dyDescent="0.3">
      <c r="C80" s="12" t="s">
        <v>62</v>
      </c>
      <c r="D80" s="13" t="s">
        <v>69</v>
      </c>
      <c r="E80" s="13" t="s">
        <v>70</v>
      </c>
      <c r="F80" s="13" t="s">
        <v>236</v>
      </c>
      <c r="G80" s="13" t="s">
        <v>237</v>
      </c>
      <c r="H80" s="34" t="s">
        <v>105</v>
      </c>
      <c r="I80" s="28" t="s">
        <v>130</v>
      </c>
      <c r="J80" s="28">
        <v>-5</v>
      </c>
      <c r="K80" s="14" t="s">
        <v>235</v>
      </c>
      <c r="L80" s="29" t="s">
        <v>88</v>
      </c>
      <c r="M80" s="14" t="str">
        <f t="shared" si="7"/>
        <v xml:space="preserve"> &gt; 7</v>
      </c>
      <c r="N80" s="28" t="s">
        <v>87</v>
      </c>
      <c r="O80" s="28" t="s">
        <v>91</v>
      </c>
      <c r="P80" s="28" t="s">
        <v>254</v>
      </c>
      <c r="Q80" s="30" t="s">
        <v>99</v>
      </c>
      <c r="R80" s="28" t="s">
        <v>174</v>
      </c>
      <c r="S80" s="28" t="s">
        <v>162</v>
      </c>
    </row>
    <row r="81" spans="3:19" x14ac:dyDescent="0.3">
      <c r="C81" s="12" t="s">
        <v>63</v>
      </c>
      <c r="D81" s="13" t="s">
        <v>69</v>
      </c>
      <c r="E81" s="13" t="s">
        <v>70</v>
      </c>
      <c r="F81" s="13" t="s">
        <v>236</v>
      </c>
      <c r="G81" s="13" t="s">
        <v>237</v>
      </c>
      <c r="H81" s="34" t="s">
        <v>105</v>
      </c>
      <c r="I81" s="28" t="s">
        <v>130</v>
      </c>
      <c r="J81" s="28">
        <v>-5</v>
      </c>
      <c r="K81" s="14" t="s">
        <v>235</v>
      </c>
      <c r="L81" s="29" t="s">
        <v>88</v>
      </c>
      <c r="M81" s="14" t="str">
        <f t="shared" si="7"/>
        <v xml:space="preserve"> &gt; 7</v>
      </c>
      <c r="N81" s="28" t="s">
        <v>87</v>
      </c>
      <c r="O81" s="28" t="s">
        <v>91</v>
      </c>
      <c r="P81" s="28" t="s">
        <v>255</v>
      </c>
      <c r="Q81" s="30" t="s">
        <v>100</v>
      </c>
      <c r="R81" s="28" t="s">
        <v>175</v>
      </c>
      <c r="S81" s="28" t="s">
        <v>163</v>
      </c>
    </row>
    <row r="82" spans="3:19" x14ac:dyDescent="0.3">
      <c r="C82" s="12" t="s">
        <v>64</v>
      </c>
      <c r="D82" s="13" t="s">
        <v>69</v>
      </c>
      <c r="E82" s="13" t="s">
        <v>70</v>
      </c>
      <c r="F82" s="13" t="s">
        <v>236</v>
      </c>
      <c r="G82" s="13" t="s">
        <v>237</v>
      </c>
      <c r="H82" s="34" t="s">
        <v>105</v>
      </c>
      <c r="I82" s="28" t="s">
        <v>130</v>
      </c>
      <c r="J82" s="28">
        <v>-5</v>
      </c>
      <c r="K82" s="14" t="s">
        <v>235</v>
      </c>
      <c r="L82" s="29" t="s">
        <v>88</v>
      </c>
      <c r="M82" s="14" t="str">
        <f t="shared" si="7"/>
        <v xml:space="preserve"> &gt; 7</v>
      </c>
      <c r="N82" s="28" t="s">
        <v>87</v>
      </c>
      <c r="O82" s="28" t="s">
        <v>91</v>
      </c>
      <c r="P82" s="28" t="s">
        <v>256</v>
      </c>
      <c r="Q82" s="30" t="s">
        <v>101</v>
      </c>
      <c r="R82" s="28" t="s">
        <v>176</v>
      </c>
      <c r="S82" s="28" t="s">
        <v>164</v>
      </c>
    </row>
    <row r="83" spans="3:19" x14ac:dyDescent="0.3">
      <c r="C83" s="12" t="s">
        <v>65</v>
      </c>
      <c r="D83" s="13" t="s">
        <v>69</v>
      </c>
      <c r="E83" s="13" t="s">
        <v>70</v>
      </c>
      <c r="F83" s="13" t="s">
        <v>236</v>
      </c>
      <c r="G83" s="13" t="s">
        <v>237</v>
      </c>
      <c r="H83" s="34" t="s">
        <v>105</v>
      </c>
      <c r="I83" s="28" t="s">
        <v>130</v>
      </c>
      <c r="J83" s="28">
        <v>-5</v>
      </c>
      <c r="K83" s="14" t="s">
        <v>235</v>
      </c>
      <c r="L83" s="29" t="s">
        <v>88</v>
      </c>
      <c r="M83" s="14" t="str">
        <f t="shared" si="7"/>
        <v xml:space="preserve"> &gt; 7</v>
      </c>
      <c r="N83" s="28" t="s">
        <v>87</v>
      </c>
      <c r="O83" s="28" t="s">
        <v>91</v>
      </c>
      <c r="P83" s="28" t="s">
        <v>257</v>
      </c>
      <c r="Q83" s="30" t="s">
        <v>102</v>
      </c>
      <c r="R83" s="28" t="s">
        <v>177</v>
      </c>
      <c r="S83" s="28" t="s">
        <v>165</v>
      </c>
    </row>
    <row r="84" spans="3:19" x14ac:dyDescent="0.3">
      <c r="C84" s="12" t="s">
        <v>66</v>
      </c>
      <c r="D84" s="13" t="s">
        <v>69</v>
      </c>
      <c r="E84" s="13" t="s">
        <v>70</v>
      </c>
      <c r="F84" s="13" t="s">
        <v>236</v>
      </c>
      <c r="G84" s="13" t="s">
        <v>237</v>
      </c>
      <c r="H84" s="34" t="s">
        <v>105</v>
      </c>
      <c r="I84" s="28" t="s">
        <v>130</v>
      </c>
      <c r="J84" s="28">
        <v>-5</v>
      </c>
      <c r="K84" s="14" t="s">
        <v>235</v>
      </c>
      <c r="L84" s="29" t="s">
        <v>88</v>
      </c>
      <c r="M84" s="14" t="str">
        <f t="shared" si="7"/>
        <v xml:space="preserve"> &gt; 7</v>
      </c>
      <c r="N84" s="28" t="s">
        <v>87</v>
      </c>
      <c r="O84" s="28" t="s">
        <v>91</v>
      </c>
      <c r="P84" s="28" t="s">
        <v>258</v>
      </c>
      <c r="Q84" s="30" t="s">
        <v>103</v>
      </c>
      <c r="R84" s="28" t="s">
        <v>178</v>
      </c>
      <c r="S84" s="28" t="s">
        <v>166</v>
      </c>
    </row>
  </sheetData>
  <mergeCells count="8">
    <mergeCell ref="F66:I67"/>
    <mergeCell ref="F68:O68"/>
    <mergeCell ref="F47:O47"/>
    <mergeCell ref="F5:O5"/>
    <mergeCell ref="F3:I4"/>
    <mergeCell ref="F24:I25"/>
    <mergeCell ref="F26:O26"/>
    <mergeCell ref="F45:I4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AB811-FC36-4476-B33F-AB5816329870}">
  <dimension ref="C3:S85"/>
  <sheetViews>
    <sheetView topLeftCell="A52" zoomScale="70" zoomScaleNormal="70" workbookViewId="0">
      <selection activeCell="C3" sqref="C3:S85"/>
    </sheetView>
  </sheetViews>
  <sheetFormatPr defaultRowHeight="14.4" x14ac:dyDescent="0.3"/>
  <cols>
    <col min="3" max="7" width="15.77734375" customWidth="1"/>
    <col min="8" max="19" width="13.33203125" customWidth="1"/>
  </cols>
  <sheetData>
    <row r="3" spans="3:19" x14ac:dyDescent="0.3">
      <c r="F3" s="37" t="s">
        <v>86</v>
      </c>
      <c r="G3" s="37"/>
      <c r="H3" s="37"/>
      <c r="I3" s="37"/>
    </row>
    <row r="4" spans="3:19" x14ac:dyDescent="0.3">
      <c r="F4" s="37"/>
      <c r="G4" s="37"/>
      <c r="H4" s="37"/>
      <c r="I4" s="37"/>
    </row>
    <row r="5" spans="3:19" x14ac:dyDescent="0.3">
      <c r="F5" s="38" t="s">
        <v>67</v>
      </c>
      <c r="G5" s="38"/>
      <c r="H5" s="38"/>
      <c r="I5" s="38"/>
      <c r="J5" s="38"/>
      <c r="K5" s="38"/>
      <c r="L5" s="38"/>
      <c r="M5" s="38"/>
      <c r="N5" s="38"/>
      <c r="O5" s="38"/>
    </row>
    <row r="7" spans="3:19" x14ac:dyDescent="0.3">
      <c r="D7" s="10" t="s">
        <v>51</v>
      </c>
      <c r="E7" s="10" t="s">
        <v>52</v>
      </c>
      <c r="F7" s="10" t="s">
        <v>228</v>
      </c>
      <c r="G7" s="10" t="s">
        <v>230</v>
      </c>
      <c r="H7" s="10" t="s">
        <v>74</v>
      </c>
      <c r="I7" s="10" t="s">
        <v>75</v>
      </c>
      <c r="J7" s="10" t="s">
        <v>227</v>
      </c>
      <c r="K7" s="10" t="s">
        <v>226</v>
      </c>
      <c r="L7" s="10" t="s">
        <v>53</v>
      </c>
      <c r="M7" s="10" t="s">
        <v>54</v>
      </c>
      <c r="N7" s="10" t="s">
        <v>55</v>
      </c>
      <c r="O7" s="10" t="s">
        <v>56</v>
      </c>
      <c r="P7" s="10" t="s">
        <v>57</v>
      </c>
      <c r="Q7" s="10" t="s">
        <v>58</v>
      </c>
      <c r="R7" s="10" t="s">
        <v>71</v>
      </c>
      <c r="S7" s="10" t="s">
        <v>72</v>
      </c>
    </row>
    <row r="8" spans="3:19" x14ac:dyDescent="0.3">
      <c r="D8" s="11" t="s">
        <v>68</v>
      </c>
      <c r="E8" s="11" t="s">
        <v>68</v>
      </c>
      <c r="F8" s="11" t="s">
        <v>68</v>
      </c>
      <c r="G8" s="11" t="s">
        <v>68</v>
      </c>
      <c r="H8" s="11" t="s">
        <v>68</v>
      </c>
      <c r="I8" s="11" t="s">
        <v>68</v>
      </c>
      <c r="J8" s="11" t="s">
        <v>68</v>
      </c>
      <c r="K8" s="11" t="s">
        <v>68</v>
      </c>
      <c r="L8" s="11" t="s">
        <v>68</v>
      </c>
      <c r="M8" s="11" t="s">
        <v>68</v>
      </c>
      <c r="N8" s="11" t="s">
        <v>59</v>
      </c>
      <c r="O8" s="11" t="s">
        <v>59</v>
      </c>
      <c r="P8" s="11" t="s">
        <v>60</v>
      </c>
      <c r="Q8" s="11" t="s">
        <v>60</v>
      </c>
      <c r="R8" s="11" t="s">
        <v>73</v>
      </c>
      <c r="S8" s="11" t="s">
        <v>73</v>
      </c>
    </row>
    <row r="9" spans="3:19" x14ac:dyDescent="0.3">
      <c r="C9" s="12" t="s">
        <v>4</v>
      </c>
      <c r="D9" s="13" t="s">
        <v>69</v>
      </c>
      <c r="E9" s="13" t="s">
        <v>70</v>
      </c>
      <c r="F9" s="13" t="s">
        <v>236</v>
      </c>
      <c r="G9" s="13" t="s">
        <v>237</v>
      </c>
      <c r="H9" s="14">
        <v>-3</v>
      </c>
      <c r="I9" s="14">
        <v>25</v>
      </c>
      <c r="J9" s="14">
        <v>-17</v>
      </c>
      <c r="K9" s="14">
        <v>22</v>
      </c>
      <c r="L9" s="25">
        <v>-10</v>
      </c>
      <c r="M9" s="14">
        <v>10</v>
      </c>
      <c r="N9" s="14">
        <v>196</v>
      </c>
      <c r="O9" s="14">
        <v>265</v>
      </c>
      <c r="P9" s="27">
        <v>1.1100000000000001</v>
      </c>
      <c r="Q9" s="27">
        <v>3.42</v>
      </c>
      <c r="R9" s="18">
        <f>PRODUCT(230,P9)</f>
        <v>255.3</v>
      </c>
      <c r="S9" s="18">
        <f>PRODUCT(230,Q9)</f>
        <v>786.6</v>
      </c>
    </row>
    <row r="10" spans="3:19" x14ac:dyDescent="0.3">
      <c r="C10" s="12" t="s">
        <v>5</v>
      </c>
      <c r="D10" s="13" t="s">
        <v>69</v>
      </c>
      <c r="E10" s="13" t="s">
        <v>70</v>
      </c>
      <c r="F10" s="13" t="s">
        <v>236</v>
      </c>
      <c r="G10" s="13" t="s">
        <v>237</v>
      </c>
      <c r="H10" s="14">
        <v>-3</v>
      </c>
      <c r="I10" s="14">
        <v>25</v>
      </c>
      <c r="J10" s="14">
        <v>-17</v>
      </c>
      <c r="K10" s="14">
        <v>22</v>
      </c>
      <c r="L10" s="25">
        <v>-10</v>
      </c>
      <c r="M10" s="14">
        <v>10</v>
      </c>
      <c r="N10" s="14">
        <v>196</v>
      </c>
      <c r="O10" s="14">
        <v>265</v>
      </c>
      <c r="P10" s="27">
        <v>1.78</v>
      </c>
      <c r="Q10" s="27">
        <v>4.9499999999999993</v>
      </c>
      <c r="R10" s="18">
        <f t="shared" ref="R10:R19" si="0">PRODUCT(230,P10)</f>
        <v>409.40000000000003</v>
      </c>
      <c r="S10" s="18">
        <f t="shared" ref="S10:S21" si="1">PRODUCT(230,Q10)</f>
        <v>1138.4999999999998</v>
      </c>
    </row>
    <row r="11" spans="3:19" x14ac:dyDescent="0.3">
      <c r="C11" s="12" t="s">
        <v>6</v>
      </c>
      <c r="D11" s="13" t="s">
        <v>69</v>
      </c>
      <c r="E11" s="13" t="s">
        <v>70</v>
      </c>
      <c r="F11" s="13" t="s">
        <v>236</v>
      </c>
      <c r="G11" s="13" t="s">
        <v>237</v>
      </c>
      <c r="H11" s="14">
        <v>-3</v>
      </c>
      <c r="I11" s="14">
        <v>25</v>
      </c>
      <c r="J11" s="14">
        <v>-17</v>
      </c>
      <c r="K11" s="14">
        <v>22</v>
      </c>
      <c r="L11" s="25">
        <v>-10</v>
      </c>
      <c r="M11" s="14">
        <v>10</v>
      </c>
      <c r="N11" s="14">
        <v>196</v>
      </c>
      <c r="O11" s="14">
        <v>265</v>
      </c>
      <c r="P11" s="27">
        <v>2.39</v>
      </c>
      <c r="Q11" s="27">
        <v>6.32</v>
      </c>
      <c r="R11" s="18">
        <f t="shared" si="0"/>
        <v>549.70000000000005</v>
      </c>
      <c r="S11" s="18">
        <f t="shared" si="1"/>
        <v>1453.6000000000001</v>
      </c>
    </row>
    <row r="12" spans="3:19" x14ac:dyDescent="0.3">
      <c r="C12" s="12" t="s">
        <v>7</v>
      </c>
      <c r="D12" s="13" t="s">
        <v>69</v>
      </c>
      <c r="E12" s="13" t="s">
        <v>70</v>
      </c>
      <c r="F12" s="13" t="s">
        <v>236</v>
      </c>
      <c r="G12" s="13" t="s">
        <v>237</v>
      </c>
      <c r="H12" s="14">
        <v>-3</v>
      </c>
      <c r="I12" s="14">
        <v>25</v>
      </c>
      <c r="J12" s="14">
        <v>-17</v>
      </c>
      <c r="K12" s="14">
        <v>22</v>
      </c>
      <c r="L12" s="25">
        <v>-10</v>
      </c>
      <c r="M12" s="14">
        <v>10</v>
      </c>
      <c r="N12" s="14">
        <v>196</v>
      </c>
      <c r="O12" s="14">
        <v>265</v>
      </c>
      <c r="P12" s="27">
        <v>3.15</v>
      </c>
      <c r="Q12" s="27">
        <v>7.94</v>
      </c>
      <c r="R12" s="18">
        <f t="shared" si="0"/>
        <v>724.5</v>
      </c>
      <c r="S12" s="18">
        <f t="shared" si="1"/>
        <v>1826.2</v>
      </c>
    </row>
    <row r="13" spans="3:19" x14ac:dyDescent="0.3">
      <c r="C13" s="12" t="s">
        <v>8</v>
      </c>
      <c r="D13" s="13" t="s">
        <v>69</v>
      </c>
      <c r="E13" s="13" t="s">
        <v>70</v>
      </c>
      <c r="F13" s="13" t="s">
        <v>236</v>
      </c>
      <c r="G13" s="13" t="s">
        <v>237</v>
      </c>
      <c r="H13" s="14">
        <v>-3</v>
      </c>
      <c r="I13" s="14">
        <v>25</v>
      </c>
      <c r="J13" s="14">
        <v>-17</v>
      </c>
      <c r="K13" s="14">
        <v>22</v>
      </c>
      <c r="L13" s="25">
        <v>-10</v>
      </c>
      <c r="M13" s="14">
        <v>10</v>
      </c>
      <c r="N13" s="14">
        <v>196</v>
      </c>
      <c r="O13" s="14">
        <v>265</v>
      </c>
      <c r="P13" s="27">
        <v>5.0599999999999996</v>
      </c>
      <c r="Q13" s="27">
        <v>12.149999999999999</v>
      </c>
      <c r="R13" s="18">
        <f t="shared" si="0"/>
        <v>1163.8</v>
      </c>
      <c r="S13" s="18">
        <f t="shared" si="1"/>
        <v>2794.4999999999995</v>
      </c>
    </row>
    <row r="14" spans="3:19" x14ac:dyDescent="0.3">
      <c r="C14" s="12" t="s">
        <v>9</v>
      </c>
      <c r="D14" s="13" t="s">
        <v>69</v>
      </c>
      <c r="E14" s="13" t="s">
        <v>70</v>
      </c>
      <c r="F14" s="13" t="s">
        <v>236</v>
      </c>
      <c r="G14" s="13" t="s">
        <v>237</v>
      </c>
      <c r="H14" s="14">
        <v>-3</v>
      </c>
      <c r="I14" s="14">
        <v>25</v>
      </c>
      <c r="J14" s="14">
        <v>-17</v>
      </c>
      <c r="K14" s="14">
        <v>22</v>
      </c>
      <c r="L14" s="25">
        <v>-10</v>
      </c>
      <c r="M14" s="14">
        <v>10</v>
      </c>
      <c r="N14" s="14">
        <v>196</v>
      </c>
      <c r="O14" s="14">
        <v>265</v>
      </c>
      <c r="P14" s="27">
        <v>6.75</v>
      </c>
      <c r="Q14" s="27">
        <v>15.450000000000001</v>
      </c>
      <c r="R14" s="18">
        <f t="shared" si="0"/>
        <v>1552.5</v>
      </c>
      <c r="S14" s="18">
        <f t="shared" si="1"/>
        <v>3553.5000000000005</v>
      </c>
    </row>
    <row r="15" spans="3:19" x14ac:dyDescent="0.3">
      <c r="D15" s="15"/>
      <c r="E15" s="15"/>
      <c r="F15" s="15"/>
      <c r="G15" s="15"/>
      <c r="H15" s="15"/>
      <c r="I15" s="15"/>
      <c r="J15" s="15"/>
      <c r="K15" s="15"/>
      <c r="L15" s="26"/>
      <c r="M15" s="16"/>
      <c r="N15" s="17"/>
      <c r="O15" s="17"/>
      <c r="P15" s="17"/>
      <c r="Q15" s="17"/>
    </row>
    <row r="16" spans="3:19" x14ac:dyDescent="0.3">
      <c r="C16" s="12" t="s">
        <v>61</v>
      </c>
      <c r="D16" s="13" t="s">
        <v>69</v>
      </c>
      <c r="E16" s="13" t="s">
        <v>70</v>
      </c>
      <c r="F16" s="13" t="s">
        <v>236</v>
      </c>
      <c r="G16" s="13" t="s">
        <v>237</v>
      </c>
      <c r="H16" s="14">
        <v>-3</v>
      </c>
      <c r="I16" s="14">
        <v>25</v>
      </c>
      <c r="J16" s="14">
        <v>-17</v>
      </c>
      <c r="K16" s="14">
        <v>22</v>
      </c>
      <c r="L16" s="25">
        <v>-10</v>
      </c>
      <c r="M16" s="14">
        <v>10</v>
      </c>
      <c r="N16" s="14">
        <v>196</v>
      </c>
      <c r="O16" s="14">
        <v>265</v>
      </c>
      <c r="P16" s="27">
        <v>1.1499999999999999</v>
      </c>
      <c r="Q16" s="27">
        <v>3.96</v>
      </c>
      <c r="R16" s="18">
        <f t="shared" si="0"/>
        <v>264.5</v>
      </c>
      <c r="S16" s="18">
        <f>PRODUCT(230,Q16)</f>
        <v>910.8</v>
      </c>
    </row>
    <row r="17" spans="3:19" x14ac:dyDescent="0.3">
      <c r="C17" s="12" t="s">
        <v>62</v>
      </c>
      <c r="D17" s="13" t="s">
        <v>69</v>
      </c>
      <c r="E17" s="13" t="s">
        <v>70</v>
      </c>
      <c r="F17" s="13" t="s">
        <v>236</v>
      </c>
      <c r="G17" s="13" t="s">
        <v>237</v>
      </c>
      <c r="H17" s="14">
        <v>-3</v>
      </c>
      <c r="I17" s="14">
        <v>25</v>
      </c>
      <c r="J17" s="14">
        <v>-17</v>
      </c>
      <c r="K17" s="14">
        <v>22</v>
      </c>
      <c r="L17" s="25">
        <v>-10</v>
      </c>
      <c r="M17" s="14">
        <v>10</v>
      </c>
      <c r="N17" s="14">
        <v>196</v>
      </c>
      <c r="O17" s="14">
        <v>265</v>
      </c>
      <c r="P17" s="27">
        <v>1.75</v>
      </c>
      <c r="Q17" s="27">
        <v>3.75</v>
      </c>
      <c r="R17" s="18">
        <f t="shared" si="0"/>
        <v>402.5</v>
      </c>
      <c r="S17" s="18">
        <f t="shared" si="1"/>
        <v>862.5</v>
      </c>
    </row>
    <row r="18" spans="3:19" x14ac:dyDescent="0.3">
      <c r="C18" s="12" t="s">
        <v>63</v>
      </c>
      <c r="D18" s="13" t="s">
        <v>69</v>
      </c>
      <c r="E18" s="13" t="s">
        <v>70</v>
      </c>
      <c r="F18" s="13" t="s">
        <v>236</v>
      </c>
      <c r="G18" s="13" t="s">
        <v>237</v>
      </c>
      <c r="H18" s="14">
        <v>-3</v>
      </c>
      <c r="I18" s="14">
        <v>25</v>
      </c>
      <c r="J18" s="14">
        <v>-17</v>
      </c>
      <c r="K18" s="14">
        <v>22</v>
      </c>
      <c r="L18" s="25">
        <v>-10</v>
      </c>
      <c r="M18" s="14">
        <v>10</v>
      </c>
      <c r="N18" s="14">
        <v>196</v>
      </c>
      <c r="O18" s="14">
        <v>265</v>
      </c>
      <c r="P18" s="27">
        <v>1.18</v>
      </c>
      <c r="Q18" s="27">
        <v>6.28</v>
      </c>
      <c r="R18" s="18">
        <f>PRODUCT(230,P18)</f>
        <v>271.39999999999998</v>
      </c>
      <c r="S18" s="18">
        <f t="shared" si="1"/>
        <v>1444.4</v>
      </c>
    </row>
    <row r="19" spans="3:19" x14ac:dyDescent="0.3">
      <c r="C19" s="12" t="s">
        <v>64</v>
      </c>
      <c r="D19" s="13" t="s">
        <v>69</v>
      </c>
      <c r="E19" s="13" t="s">
        <v>70</v>
      </c>
      <c r="F19" s="13" t="s">
        <v>236</v>
      </c>
      <c r="G19" s="13" t="s">
        <v>237</v>
      </c>
      <c r="H19" s="14">
        <v>-3</v>
      </c>
      <c r="I19" s="14">
        <v>25</v>
      </c>
      <c r="J19" s="14">
        <v>-17</v>
      </c>
      <c r="K19" s="14">
        <v>22</v>
      </c>
      <c r="L19" s="25">
        <v>-10</v>
      </c>
      <c r="M19" s="14">
        <v>10</v>
      </c>
      <c r="N19" s="14">
        <v>196</v>
      </c>
      <c r="O19" s="14">
        <v>265</v>
      </c>
      <c r="P19" s="27">
        <v>2.04</v>
      </c>
      <c r="Q19" s="27">
        <v>9.5500000000000007</v>
      </c>
      <c r="R19" s="18">
        <f t="shared" si="0"/>
        <v>469.2</v>
      </c>
      <c r="S19" s="18">
        <f t="shared" si="1"/>
        <v>2196.5</v>
      </c>
    </row>
    <row r="20" spans="3:19" x14ac:dyDescent="0.3">
      <c r="C20" s="12" t="s">
        <v>65</v>
      </c>
      <c r="D20" s="13" t="s">
        <v>69</v>
      </c>
      <c r="E20" s="13" t="s">
        <v>70</v>
      </c>
      <c r="F20" s="13" t="s">
        <v>236</v>
      </c>
      <c r="G20" s="13" t="s">
        <v>237</v>
      </c>
      <c r="H20" s="14">
        <v>-3</v>
      </c>
      <c r="I20" s="14">
        <v>25</v>
      </c>
      <c r="J20" s="14">
        <v>-17</v>
      </c>
      <c r="K20" s="14">
        <v>22</v>
      </c>
      <c r="L20" s="25">
        <v>-10</v>
      </c>
      <c r="M20" s="14">
        <v>10</v>
      </c>
      <c r="N20" s="14">
        <v>196</v>
      </c>
      <c r="O20" s="14">
        <v>265</v>
      </c>
      <c r="P20" s="27">
        <v>2.48</v>
      </c>
      <c r="Q20" s="27">
        <v>12.62</v>
      </c>
      <c r="R20" s="18">
        <f>PRODUCT(230,P20)</f>
        <v>570.4</v>
      </c>
      <c r="S20" s="18">
        <f t="shared" si="1"/>
        <v>2902.6</v>
      </c>
    </row>
    <row r="21" spans="3:19" x14ac:dyDescent="0.3">
      <c r="C21" s="12" t="s">
        <v>66</v>
      </c>
      <c r="D21" s="13" t="s">
        <v>69</v>
      </c>
      <c r="E21" s="13" t="s">
        <v>70</v>
      </c>
      <c r="F21" s="13" t="s">
        <v>236</v>
      </c>
      <c r="G21" s="13" t="s">
        <v>237</v>
      </c>
      <c r="H21" s="14">
        <v>-3</v>
      </c>
      <c r="I21" s="14">
        <v>25</v>
      </c>
      <c r="J21" s="14">
        <v>-17</v>
      </c>
      <c r="K21" s="14">
        <v>22</v>
      </c>
      <c r="L21" s="25">
        <v>-10</v>
      </c>
      <c r="M21" s="14">
        <v>10</v>
      </c>
      <c r="N21" s="14">
        <v>196</v>
      </c>
      <c r="O21" s="14">
        <v>265</v>
      </c>
      <c r="P21" s="27">
        <v>5.6</v>
      </c>
      <c r="Q21" s="27">
        <v>17.73</v>
      </c>
      <c r="R21" s="18">
        <f>PRODUCT(230,P21)</f>
        <v>1288</v>
      </c>
      <c r="S21" s="18">
        <f t="shared" si="1"/>
        <v>4077.9</v>
      </c>
    </row>
    <row r="25" spans="3:19" x14ac:dyDescent="0.3">
      <c r="F25" s="37" t="s">
        <v>123</v>
      </c>
      <c r="G25" s="37"/>
      <c r="H25" s="37"/>
      <c r="I25" s="37"/>
      <c r="J25" s="32" t="s">
        <v>225</v>
      </c>
    </row>
    <row r="26" spans="3:19" x14ac:dyDescent="0.3">
      <c r="F26" s="37"/>
      <c r="G26" s="37"/>
      <c r="H26" s="37"/>
      <c r="I26" s="37"/>
    </row>
    <row r="27" spans="3:19" x14ac:dyDescent="0.3">
      <c r="F27" s="38" t="s">
        <v>67</v>
      </c>
      <c r="G27" s="38"/>
      <c r="H27" s="38"/>
      <c r="I27" s="38"/>
      <c r="J27" s="38"/>
      <c r="K27" s="38"/>
      <c r="L27" s="38"/>
      <c r="M27" s="38"/>
      <c r="N27" s="38"/>
      <c r="O27" s="38"/>
    </row>
    <row r="29" spans="3:19" x14ac:dyDescent="0.3">
      <c r="D29" s="10" t="s">
        <v>51</v>
      </c>
      <c r="E29" s="10" t="s">
        <v>52</v>
      </c>
      <c r="F29" s="10" t="s">
        <v>228</v>
      </c>
      <c r="G29" s="10" t="s">
        <v>230</v>
      </c>
      <c r="H29" s="10" t="s">
        <v>74</v>
      </c>
      <c r="I29" s="10" t="s">
        <v>75</v>
      </c>
      <c r="J29" s="10" t="s">
        <v>227</v>
      </c>
      <c r="K29" s="10" t="s">
        <v>226</v>
      </c>
      <c r="L29" s="10" t="s">
        <v>53</v>
      </c>
      <c r="M29" s="10" t="s">
        <v>54</v>
      </c>
      <c r="N29" s="10" t="s">
        <v>55</v>
      </c>
      <c r="O29" s="10" t="s">
        <v>56</v>
      </c>
      <c r="P29" s="10" t="s">
        <v>57</v>
      </c>
      <c r="Q29" s="10" t="s">
        <v>58</v>
      </c>
      <c r="R29" s="10" t="s">
        <v>71</v>
      </c>
      <c r="S29" s="10" t="s">
        <v>72</v>
      </c>
    </row>
    <row r="30" spans="3:19" x14ac:dyDescent="0.3">
      <c r="D30" s="11" t="s">
        <v>68</v>
      </c>
      <c r="E30" s="11" t="s">
        <v>68</v>
      </c>
      <c r="F30" s="11" t="s">
        <v>68</v>
      </c>
      <c r="G30" s="11" t="s">
        <v>68</v>
      </c>
      <c r="H30" s="11" t="s">
        <v>68</v>
      </c>
      <c r="I30" s="11" t="s">
        <v>68</v>
      </c>
      <c r="J30" s="11" t="s">
        <v>68</v>
      </c>
      <c r="K30" s="11" t="s">
        <v>68</v>
      </c>
      <c r="L30" s="11" t="s">
        <v>68</v>
      </c>
      <c r="M30" s="11" t="s">
        <v>68</v>
      </c>
      <c r="N30" s="11" t="s">
        <v>59</v>
      </c>
      <c r="O30" s="11" t="s">
        <v>59</v>
      </c>
      <c r="P30" s="11" t="s">
        <v>60</v>
      </c>
      <c r="Q30" s="11" t="s">
        <v>60</v>
      </c>
      <c r="R30" s="11" t="s">
        <v>73</v>
      </c>
      <c r="S30" s="11" t="s">
        <v>73</v>
      </c>
    </row>
    <row r="31" spans="3:19" x14ac:dyDescent="0.3">
      <c r="C31" s="12" t="s">
        <v>4</v>
      </c>
      <c r="D31" s="13" t="s">
        <v>69</v>
      </c>
      <c r="E31" s="13" t="s">
        <v>70</v>
      </c>
      <c r="F31" s="13" t="s">
        <v>236</v>
      </c>
      <c r="G31" s="13" t="s">
        <v>237</v>
      </c>
      <c r="H31" s="28" t="s">
        <v>88</v>
      </c>
      <c r="I31" s="14" t="s">
        <v>122</v>
      </c>
      <c r="J31" s="14" t="s">
        <v>238</v>
      </c>
      <c r="K31" s="28" t="s">
        <v>239</v>
      </c>
      <c r="L31" s="29" t="s">
        <v>90</v>
      </c>
      <c r="M31" s="14" t="str">
        <f t="shared" ref="M31:M36" si="2">" &gt; "&amp;$M$9</f>
        <v xml:space="preserve"> &gt; 10</v>
      </c>
      <c r="N31" s="28" t="s">
        <v>87</v>
      </c>
      <c r="O31" s="28" t="s">
        <v>91</v>
      </c>
      <c r="P31" s="14" t="str">
        <f>" &lt; "&amp;P9</f>
        <v xml:space="preserve"> &lt; 1,11</v>
      </c>
      <c r="Q31" s="30" t="s">
        <v>92</v>
      </c>
      <c r="R31" s="18" t="s">
        <v>190</v>
      </c>
      <c r="S31" s="28" t="s">
        <v>201</v>
      </c>
    </row>
    <row r="32" spans="3:19" x14ac:dyDescent="0.3">
      <c r="C32" s="12" t="s">
        <v>5</v>
      </c>
      <c r="D32" s="13" t="s">
        <v>69</v>
      </c>
      <c r="E32" s="13" t="s">
        <v>70</v>
      </c>
      <c r="F32" s="13" t="s">
        <v>236</v>
      </c>
      <c r="G32" s="13" t="s">
        <v>237</v>
      </c>
      <c r="H32" s="28" t="s">
        <v>88</v>
      </c>
      <c r="I32" s="14" t="s">
        <v>122</v>
      </c>
      <c r="J32" s="14" t="s">
        <v>238</v>
      </c>
      <c r="K32" s="28" t="s">
        <v>239</v>
      </c>
      <c r="L32" s="29" t="s">
        <v>90</v>
      </c>
      <c r="M32" s="14" t="str">
        <f t="shared" si="2"/>
        <v xml:space="preserve"> &gt; 10</v>
      </c>
      <c r="N32" s="28" t="s">
        <v>87</v>
      </c>
      <c r="O32" s="28" t="s">
        <v>91</v>
      </c>
      <c r="P32" s="14" t="str">
        <f>" &lt; "&amp;$P$10</f>
        <v xml:space="preserve"> &lt; 1,78</v>
      </c>
      <c r="Q32" s="30" t="s">
        <v>93</v>
      </c>
      <c r="R32" s="14" t="s">
        <v>191</v>
      </c>
      <c r="S32" s="28" t="s">
        <v>202</v>
      </c>
    </row>
    <row r="33" spans="3:19" x14ac:dyDescent="0.3">
      <c r="C33" s="12" t="s">
        <v>6</v>
      </c>
      <c r="D33" s="13" t="s">
        <v>69</v>
      </c>
      <c r="E33" s="13" t="s">
        <v>70</v>
      </c>
      <c r="F33" s="13" t="s">
        <v>236</v>
      </c>
      <c r="G33" s="13" t="s">
        <v>237</v>
      </c>
      <c r="H33" s="28" t="s">
        <v>88</v>
      </c>
      <c r="I33" s="14" t="s">
        <v>122</v>
      </c>
      <c r="J33" s="14" t="s">
        <v>238</v>
      </c>
      <c r="K33" s="28" t="s">
        <v>239</v>
      </c>
      <c r="L33" s="29" t="s">
        <v>90</v>
      </c>
      <c r="M33" s="14" t="str">
        <f t="shared" si="2"/>
        <v xml:space="preserve"> &gt; 10</v>
      </c>
      <c r="N33" s="28" t="s">
        <v>87</v>
      </c>
      <c r="O33" s="28" t="s">
        <v>91</v>
      </c>
      <c r="P33" s="14" t="str">
        <f>" &lt; "&amp;$P$11</f>
        <v xml:space="preserve"> &lt; 2,39</v>
      </c>
      <c r="Q33" s="30" t="s">
        <v>94</v>
      </c>
      <c r="R33" s="14" t="s">
        <v>192</v>
      </c>
      <c r="S33" s="28" t="s">
        <v>203</v>
      </c>
    </row>
    <row r="34" spans="3:19" x14ac:dyDescent="0.3">
      <c r="C34" s="12" t="s">
        <v>7</v>
      </c>
      <c r="D34" s="13" t="s">
        <v>69</v>
      </c>
      <c r="E34" s="13" t="s">
        <v>70</v>
      </c>
      <c r="F34" s="13" t="s">
        <v>236</v>
      </c>
      <c r="G34" s="13" t="s">
        <v>237</v>
      </c>
      <c r="H34" s="28" t="s">
        <v>88</v>
      </c>
      <c r="I34" s="14" t="s">
        <v>122</v>
      </c>
      <c r="J34" s="14" t="s">
        <v>238</v>
      </c>
      <c r="K34" s="28" t="s">
        <v>239</v>
      </c>
      <c r="L34" s="29" t="s">
        <v>90</v>
      </c>
      <c r="M34" s="14" t="str">
        <f t="shared" si="2"/>
        <v xml:space="preserve"> &gt; 10</v>
      </c>
      <c r="N34" s="28" t="s">
        <v>87</v>
      </c>
      <c r="O34" s="28" t="s">
        <v>91</v>
      </c>
      <c r="P34" s="14" t="str">
        <f>" &lt; "&amp;$P$12</f>
        <v xml:space="preserve"> &lt; 3,15</v>
      </c>
      <c r="Q34" s="30" t="s">
        <v>95</v>
      </c>
      <c r="R34" s="14" t="s">
        <v>193</v>
      </c>
      <c r="S34" s="28" t="s">
        <v>204</v>
      </c>
    </row>
    <row r="35" spans="3:19" x14ac:dyDescent="0.3">
      <c r="C35" s="12" t="s">
        <v>8</v>
      </c>
      <c r="D35" s="13" t="s">
        <v>69</v>
      </c>
      <c r="E35" s="13" t="s">
        <v>70</v>
      </c>
      <c r="F35" s="13" t="s">
        <v>236</v>
      </c>
      <c r="G35" s="13" t="s">
        <v>237</v>
      </c>
      <c r="H35" s="28" t="s">
        <v>88</v>
      </c>
      <c r="I35" s="14" t="s">
        <v>122</v>
      </c>
      <c r="J35" s="14" t="s">
        <v>238</v>
      </c>
      <c r="K35" s="28" t="s">
        <v>239</v>
      </c>
      <c r="L35" s="29" t="s">
        <v>90</v>
      </c>
      <c r="M35" s="14" t="str">
        <f t="shared" si="2"/>
        <v xml:space="preserve"> &gt; 10</v>
      </c>
      <c r="N35" s="28" t="s">
        <v>87</v>
      </c>
      <c r="O35" s="28" t="s">
        <v>91</v>
      </c>
      <c r="P35" s="14" t="str">
        <f>" &lt; "&amp;$P$13</f>
        <v xml:space="preserve"> &lt; 5,06</v>
      </c>
      <c r="Q35" s="30" t="s">
        <v>96</v>
      </c>
      <c r="R35" s="14" t="s">
        <v>194</v>
      </c>
      <c r="S35" s="28" t="s">
        <v>205</v>
      </c>
    </row>
    <row r="36" spans="3:19" x14ac:dyDescent="0.3">
      <c r="C36" s="12" t="s">
        <v>9</v>
      </c>
      <c r="D36" s="13" t="s">
        <v>69</v>
      </c>
      <c r="E36" s="13" t="s">
        <v>70</v>
      </c>
      <c r="F36" s="13" t="s">
        <v>236</v>
      </c>
      <c r="G36" s="13" t="s">
        <v>237</v>
      </c>
      <c r="H36" s="28" t="s">
        <v>88</v>
      </c>
      <c r="I36" s="14" t="s">
        <v>122</v>
      </c>
      <c r="J36" s="14" t="s">
        <v>238</v>
      </c>
      <c r="K36" s="28" t="s">
        <v>239</v>
      </c>
      <c r="L36" s="29" t="s">
        <v>90</v>
      </c>
      <c r="M36" s="14" t="str">
        <f t="shared" si="2"/>
        <v xml:space="preserve"> &gt; 10</v>
      </c>
      <c r="N36" s="28" t="s">
        <v>87</v>
      </c>
      <c r="O36" s="28" t="s">
        <v>91</v>
      </c>
      <c r="P36" s="14" t="str">
        <f>" &lt; "&amp;$P$14</f>
        <v xml:space="preserve"> &lt; 6,75</v>
      </c>
      <c r="Q36" s="30" t="s">
        <v>97</v>
      </c>
      <c r="R36" s="14" t="s">
        <v>195</v>
      </c>
      <c r="S36" s="28" t="s">
        <v>206</v>
      </c>
    </row>
    <row r="37" spans="3:19" x14ac:dyDescent="0.3">
      <c r="D37" s="15"/>
      <c r="E37" s="15"/>
      <c r="F37" s="15"/>
      <c r="G37" s="15"/>
      <c r="H37" s="15"/>
      <c r="I37" s="15"/>
      <c r="J37" s="15"/>
      <c r="K37" s="15"/>
      <c r="L37" s="26"/>
      <c r="M37" s="16"/>
      <c r="N37" s="17"/>
      <c r="O37" s="17"/>
      <c r="P37" s="17"/>
      <c r="Q37" s="17"/>
      <c r="R37" s="31"/>
      <c r="S37" s="17"/>
    </row>
    <row r="38" spans="3:19" x14ac:dyDescent="0.3">
      <c r="C38" s="12" t="s">
        <v>61</v>
      </c>
      <c r="D38" s="13" t="s">
        <v>69</v>
      </c>
      <c r="E38" s="13" t="s">
        <v>70</v>
      </c>
      <c r="F38" s="13" t="s">
        <v>236</v>
      </c>
      <c r="G38" s="13" t="s">
        <v>237</v>
      </c>
      <c r="H38" s="28" t="s">
        <v>88</v>
      </c>
      <c r="I38" s="14" t="s">
        <v>122</v>
      </c>
      <c r="J38" s="14" t="s">
        <v>238</v>
      </c>
      <c r="K38" s="28" t="s">
        <v>239</v>
      </c>
      <c r="L38" s="29" t="s">
        <v>90</v>
      </c>
      <c r="M38" s="14" t="str">
        <f t="shared" ref="M38:M43" si="3">" &gt; "&amp;$M$9</f>
        <v xml:space="preserve"> &gt; 10</v>
      </c>
      <c r="N38" s="28" t="s">
        <v>87</v>
      </c>
      <c r="O38" s="28" t="s">
        <v>91</v>
      </c>
      <c r="P38" s="14" t="str">
        <f>" &lt; "&amp;P16</f>
        <v xml:space="preserve"> &lt; 1,15</v>
      </c>
      <c r="Q38" s="30" t="s">
        <v>98</v>
      </c>
      <c r="R38" s="14" t="s">
        <v>196</v>
      </c>
      <c r="S38" s="28" t="s">
        <v>207</v>
      </c>
    </row>
    <row r="39" spans="3:19" x14ac:dyDescent="0.3">
      <c r="C39" s="12" t="s">
        <v>62</v>
      </c>
      <c r="D39" s="13" t="s">
        <v>69</v>
      </c>
      <c r="E39" s="13" t="s">
        <v>70</v>
      </c>
      <c r="F39" s="13" t="s">
        <v>236</v>
      </c>
      <c r="G39" s="13" t="s">
        <v>237</v>
      </c>
      <c r="H39" s="28" t="s">
        <v>88</v>
      </c>
      <c r="I39" s="14" t="s">
        <v>122</v>
      </c>
      <c r="J39" s="14" t="s">
        <v>238</v>
      </c>
      <c r="K39" s="28" t="s">
        <v>239</v>
      </c>
      <c r="L39" s="29" t="s">
        <v>90</v>
      </c>
      <c r="M39" s="14" t="str">
        <f t="shared" si="3"/>
        <v xml:space="preserve"> &gt; 10</v>
      </c>
      <c r="N39" s="28" t="s">
        <v>87</v>
      </c>
      <c r="O39" s="28" t="s">
        <v>91</v>
      </c>
      <c r="P39" s="14" t="str">
        <f>" &lt; "&amp;$P$17</f>
        <v xml:space="preserve"> &lt; 1,75</v>
      </c>
      <c r="Q39" s="30" t="s">
        <v>99</v>
      </c>
      <c r="R39" s="14" t="s">
        <v>138</v>
      </c>
      <c r="S39" s="28" t="s">
        <v>208</v>
      </c>
    </row>
    <row r="40" spans="3:19" x14ac:dyDescent="0.3">
      <c r="C40" s="12" t="s">
        <v>63</v>
      </c>
      <c r="D40" s="13" t="s">
        <v>69</v>
      </c>
      <c r="E40" s="13" t="s">
        <v>70</v>
      </c>
      <c r="F40" s="13" t="s">
        <v>236</v>
      </c>
      <c r="G40" s="13" t="s">
        <v>237</v>
      </c>
      <c r="H40" s="28" t="s">
        <v>88</v>
      </c>
      <c r="I40" s="14" t="s">
        <v>122</v>
      </c>
      <c r="J40" s="14" t="s">
        <v>238</v>
      </c>
      <c r="K40" s="28" t="s">
        <v>239</v>
      </c>
      <c r="L40" s="29" t="s">
        <v>90</v>
      </c>
      <c r="M40" s="14" t="str">
        <f t="shared" si="3"/>
        <v xml:space="preserve"> &gt; 10</v>
      </c>
      <c r="N40" s="28" t="s">
        <v>87</v>
      </c>
      <c r="O40" s="28" t="s">
        <v>91</v>
      </c>
      <c r="P40" s="14" t="str">
        <f>" &lt; "&amp;$P$18</f>
        <v xml:space="preserve"> &lt; 1,18</v>
      </c>
      <c r="Q40" s="30" t="s">
        <v>100</v>
      </c>
      <c r="R40" s="14" t="s">
        <v>197</v>
      </c>
      <c r="S40" s="28" t="s">
        <v>209</v>
      </c>
    </row>
    <row r="41" spans="3:19" x14ac:dyDescent="0.3">
      <c r="C41" s="12" t="s">
        <v>64</v>
      </c>
      <c r="D41" s="13" t="s">
        <v>69</v>
      </c>
      <c r="E41" s="13" t="s">
        <v>70</v>
      </c>
      <c r="F41" s="13" t="s">
        <v>236</v>
      </c>
      <c r="G41" s="13" t="s">
        <v>237</v>
      </c>
      <c r="H41" s="28" t="s">
        <v>88</v>
      </c>
      <c r="I41" s="14" t="s">
        <v>122</v>
      </c>
      <c r="J41" s="14" t="s">
        <v>238</v>
      </c>
      <c r="K41" s="28" t="s">
        <v>239</v>
      </c>
      <c r="L41" s="29" t="s">
        <v>90</v>
      </c>
      <c r="M41" s="14" t="str">
        <f t="shared" si="3"/>
        <v xml:space="preserve"> &gt; 10</v>
      </c>
      <c r="N41" s="28" t="s">
        <v>87</v>
      </c>
      <c r="O41" s="28" t="s">
        <v>91</v>
      </c>
      <c r="P41" s="14" t="str">
        <f>" &lt; "&amp;$P$19</f>
        <v xml:space="preserve"> &lt; 2,04</v>
      </c>
      <c r="Q41" s="30" t="s">
        <v>101</v>
      </c>
      <c r="R41" s="14" t="s">
        <v>198</v>
      </c>
      <c r="S41" s="28" t="s">
        <v>210</v>
      </c>
    </row>
    <row r="42" spans="3:19" x14ac:dyDescent="0.3">
      <c r="C42" s="12" t="s">
        <v>65</v>
      </c>
      <c r="D42" s="13" t="s">
        <v>69</v>
      </c>
      <c r="E42" s="13" t="s">
        <v>70</v>
      </c>
      <c r="F42" s="13" t="s">
        <v>236</v>
      </c>
      <c r="G42" s="13" t="s">
        <v>237</v>
      </c>
      <c r="H42" s="28" t="s">
        <v>88</v>
      </c>
      <c r="I42" s="14" t="s">
        <v>122</v>
      </c>
      <c r="J42" s="14" t="s">
        <v>238</v>
      </c>
      <c r="K42" s="28" t="s">
        <v>239</v>
      </c>
      <c r="L42" s="29" t="s">
        <v>90</v>
      </c>
      <c r="M42" s="14" t="str">
        <f t="shared" si="3"/>
        <v xml:space="preserve"> &gt; 10</v>
      </c>
      <c r="N42" s="28" t="s">
        <v>87</v>
      </c>
      <c r="O42" s="28" t="s">
        <v>91</v>
      </c>
      <c r="P42" s="14" t="str">
        <f>" &lt; "&amp;$P$20</f>
        <v xml:space="preserve"> &lt; 2,48</v>
      </c>
      <c r="Q42" s="30" t="s">
        <v>102</v>
      </c>
      <c r="R42" s="14" t="s">
        <v>199</v>
      </c>
      <c r="S42" s="28" t="s">
        <v>211</v>
      </c>
    </row>
    <row r="43" spans="3:19" x14ac:dyDescent="0.3">
      <c r="C43" s="12" t="s">
        <v>66</v>
      </c>
      <c r="D43" s="13" t="s">
        <v>69</v>
      </c>
      <c r="E43" s="13" t="s">
        <v>70</v>
      </c>
      <c r="F43" s="13" t="s">
        <v>236</v>
      </c>
      <c r="G43" s="13" t="s">
        <v>237</v>
      </c>
      <c r="H43" s="28" t="s">
        <v>88</v>
      </c>
      <c r="I43" s="14" t="s">
        <v>122</v>
      </c>
      <c r="J43" s="14" t="s">
        <v>238</v>
      </c>
      <c r="K43" s="28" t="s">
        <v>239</v>
      </c>
      <c r="L43" s="29" t="s">
        <v>90</v>
      </c>
      <c r="M43" s="14" t="str">
        <f t="shared" si="3"/>
        <v xml:space="preserve"> &gt; 10</v>
      </c>
      <c r="N43" s="28" t="s">
        <v>87</v>
      </c>
      <c r="O43" s="28" t="s">
        <v>91</v>
      </c>
      <c r="P43" s="14" t="str">
        <f>" &lt; "&amp;$P$21</f>
        <v xml:space="preserve"> &lt; 5,6</v>
      </c>
      <c r="Q43" s="30" t="s">
        <v>103</v>
      </c>
      <c r="R43" s="14" t="s">
        <v>200</v>
      </c>
      <c r="S43" s="28" t="s">
        <v>212</v>
      </c>
    </row>
    <row r="46" spans="3:19" x14ac:dyDescent="0.3">
      <c r="F46" s="37" t="s">
        <v>124</v>
      </c>
      <c r="G46" s="37"/>
      <c r="H46" s="37"/>
      <c r="I46" s="37"/>
      <c r="J46" s="32" t="s">
        <v>126</v>
      </c>
    </row>
    <row r="47" spans="3:19" x14ac:dyDescent="0.3">
      <c r="F47" s="37"/>
      <c r="G47" s="37"/>
      <c r="H47" s="37"/>
      <c r="I47" s="37"/>
    </row>
    <row r="48" spans="3:19" x14ac:dyDescent="0.3">
      <c r="F48" s="38" t="s">
        <v>67</v>
      </c>
      <c r="G48" s="38"/>
      <c r="H48" s="38"/>
      <c r="I48" s="38"/>
      <c r="J48" s="38"/>
      <c r="K48" s="38"/>
      <c r="L48" s="38"/>
      <c r="M48" s="38"/>
      <c r="N48" s="38"/>
      <c r="O48" s="38"/>
    </row>
    <row r="50" spans="3:19" x14ac:dyDescent="0.3">
      <c r="D50" s="10" t="s">
        <v>51</v>
      </c>
      <c r="E50" s="10" t="s">
        <v>52</v>
      </c>
      <c r="F50" s="10" t="s">
        <v>228</v>
      </c>
      <c r="G50" s="10" t="s">
        <v>230</v>
      </c>
      <c r="H50" s="10" t="s">
        <v>74</v>
      </c>
      <c r="I50" s="10" t="s">
        <v>75</v>
      </c>
      <c r="J50" s="10" t="s">
        <v>227</v>
      </c>
      <c r="K50" s="10" t="s">
        <v>226</v>
      </c>
      <c r="L50" s="10" t="s">
        <v>53</v>
      </c>
      <c r="M50" s="10" t="s">
        <v>54</v>
      </c>
      <c r="N50" s="10" t="s">
        <v>55</v>
      </c>
      <c r="O50" s="10" t="s">
        <v>56</v>
      </c>
      <c r="P50" s="10" t="s">
        <v>57</v>
      </c>
      <c r="Q50" s="10" t="s">
        <v>58</v>
      </c>
      <c r="R50" s="10" t="s">
        <v>71</v>
      </c>
      <c r="S50" s="10" t="s">
        <v>72</v>
      </c>
    </row>
    <row r="51" spans="3:19" x14ac:dyDescent="0.3">
      <c r="D51" s="11" t="s">
        <v>68</v>
      </c>
      <c r="E51" s="11" t="s">
        <v>68</v>
      </c>
      <c r="F51" s="11" t="s">
        <v>68</v>
      </c>
      <c r="G51" s="11" t="s">
        <v>68</v>
      </c>
      <c r="H51" s="11" t="s">
        <v>68</v>
      </c>
      <c r="I51" s="11" t="s">
        <v>68</v>
      </c>
      <c r="J51" s="11" t="s">
        <v>68</v>
      </c>
      <c r="K51" s="11" t="s">
        <v>68</v>
      </c>
      <c r="L51" s="11" t="s">
        <v>68</v>
      </c>
      <c r="M51" s="11" t="s">
        <v>68</v>
      </c>
      <c r="N51" s="11" t="s">
        <v>59</v>
      </c>
      <c r="O51" s="11" t="s">
        <v>59</v>
      </c>
      <c r="P51" s="11" t="s">
        <v>60</v>
      </c>
      <c r="Q51" s="11" t="s">
        <v>60</v>
      </c>
      <c r="R51" s="11" t="s">
        <v>73</v>
      </c>
      <c r="S51" s="11" t="s">
        <v>73</v>
      </c>
    </row>
    <row r="52" spans="3:19" x14ac:dyDescent="0.3">
      <c r="C52" s="12" t="s">
        <v>4</v>
      </c>
      <c r="D52" s="13" t="s">
        <v>69</v>
      </c>
      <c r="E52" s="13" t="s">
        <v>70</v>
      </c>
      <c r="F52" s="13" t="s">
        <v>236</v>
      </c>
      <c r="G52" s="13" t="s">
        <v>237</v>
      </c>
      <c r="H52" s="28" t="s">
        <v>88</v>
      </c>
      <c r="I52" s="28" t="s">
        <v>89</v>
      </c>
      <c r="J52" s="28" t="s">
        <v>240</v>
      </c>
      <c r="K52" s="14" t="s">
        <v>241</v>
      </c>
      <c r="L52" s="29" t="s">
        <v>90</v>
      </c>
      <c r="M52" s="14" t="str">
        <f t="shared" ref="M52:M57" si="4">" &gt; "&amp;$M$9</f>
        <v xml:space="preserve"> &gt; 10</v>
      </c>
      <c r="N52" s="28" t="s">
        <v>87</v>
      </c>
      <c r="O52" s="28" t="s">
        <v>91</v>
      </c>
      <c r="P52" s="28" t="str">
        <f>" &gt; "&amp;P9</f>
        <v xml:space="preserve"> &gt; 1,11</v>
      </c>
      <c r="Q52" s="27" t="s">
        <v>109</v>
      </c>
      <c r="R52" s="35" t="s">
        <v>179</v>
      </c>
      <c r="S52" s="14" t="s">
        <v>213</v>
      </c>
    </row>
    <row r="53" spans="3:19" x14ac:dyDescent="0.3">
      <c r="C53" s="12" t="s">
        <v>5</v>
      </c>
      <c r="D53" s="13" t="s">
        <v>69</v>
      </c>
      <c r="E53" s="13" t="s">
        <v>70</v>
      </c>
      <c r="F53" s="13" t="s">
        <v>236</v>
      </c>
      <c r="G53" s="13" t="s">
        <v>237</v>
      </c>
      <c r="H53" s="28" t="s">
        <v>88</v>
      </c>
      <c r="I53" s="28" t="s">
        <v>89</v>
      </c>
      <c r="J53" s="28" t="s">
        <v>240</v>
      </c>
      <c r="K53" s="14" t="s">
        <v>241</v>
      </c>
      <c r="L53" s="29" t="s">
        <v>90</v>
      </c>
      <c r="M53" s="14" t="str">
        <f t="shared" si="4"/>
        <v xml:space="preserve"> &gt; 10</v>
      </c>
      <c r="N53" s="28" t="s">
        <v>87</v>
      </c>
      <c r="O53" s="28" t="s">
        <v>91</v>
      </c>
      <c r="P53" s="28" t="str">
        <f>" &gt; "&amp;$P$10</f>
        <v xml:space="preserve"> &gt; 1,78</v>
      </c>
      <c r="Q53" s="27" t="s">
        <v>110</v>
      </c>
      <c r="R53" s="28" t="s">
        <v>180</v>
      </c>
      <c r="S53" s="14" t="s">
        <v>214</v>
      </c>
    </row>
    <row r="54" spans="3:19" x14ac:dyDescent="0.3">
      <c r="C54" s="12" t="s">
        <v>6</v>
      </c>
      <c r="D54" s="13" t="s">
        <v>69</v>
      </c>
      <c r="E54" s="13" t="s">
        <v>70</v>
      </c>
      <c r="F54" s="13" t="s">
        <v>236</v>
      </c>
      <c r="G54" s="13" t="s">
        <v>237</v>
      </c>
      <c r="H54" s="28" t="s">
        <v>88</v>
      </c>
      <c r="I54" s="28" t="s">
        <v>89</v>
      </c>
      <c r="J54" s="28" t="s">
        <v>240</v>
      </c>
      <c r="K54" s="14" t="s">
        <v>241</v>
      </c>
      <c r="L54" s="29" t="s">
        <v>90</v>
      </c>
      <c r="M54" s="14" t="str">
        <f t="shared" si="4"/>
        <v xml:space="preserve"> &gt; 10</v>
      </c>
      <c r="N54" s="28" t="s">
        <v>87</v>
      </c>
      <c r="O54" s="28" t="s">
        <v>91</v>
      </c>
      <c r="P54" s="28" t="str">
        <f>" &gt; "&amp;$P$11</f>
        <v xml:space="preserve"> &gt; 2,39</v>
      </c>
      <c r="Q54" s="27" t="s">
        <v>111</v>
      </c>
      <c r="R54" s="28" t="s">
        <v>181</v>
      </c>
      <c r="S54" s="14" t="s">
        <v>215</v>
      </c>
    </row>
    <row r="55" spans="3:19" x14ac:dyDescent="0.3">
      <c r="C55" s="12" t="s">
        <v>7</v>
      </c>
      <c r="D55" s="13" t="s">
        <v>69</v>
      </c>
      <c r="E55" s="13" t="s">
        <v>70</v>
      </c>
      <c r="F55" s="13" t="s">
        <v>236</v>
      </c>
      <c r="G55" s="13" t="s">
        <v>237</v>
      </c>
      <c r="H55" s="28" t="s">
        <v>88</v>
      </c>
      <c r="I55" s="28" t="s">
        <v>89</v>
      </c>
      <c r="J55" s="28" t="s">
        <v>240</v>
      </c>
      <c r="K55" s="14" t="s">
        <v>241</v>
      </c>
      <c r="L55" s="29" t="s">
        <v>90</v>
      </c>
      <c r="M55" s="14" t="str">
        <f t="shared" si="4"/>
        <v xml:space="preserve"> &gt; 10</v>
      </c>
      <c r="N55" s="28" t="s">
        <v>87</v>
      </c>
      <c r="O55" s="28" t="s">
        <v>91</v>
      </c>
      <c r="P55" s="28" t="str">
        <f>" &gt; "&amp;$P$12</f>
        <v xml:space="preserve"> &gt; 3,15</v>
      </c>
      <c r="Q55" s="27" t="s">
        <v>112</v>
      </c>
      <c r="R55" s="28" t="s">
        <v>182</v>
      </c>
      <c r="S55" s="14" t="s">
        <v>216</v>
      </c>
    </row>
    <row r="56" spans="3:19" x14ac:dyDescent="0.3">
      <c r="C56" s="12" t="s">
        <v>8</v>
      </c>
      <c r="D56" s="13" t="s">
        <v>69</v>
      </c>
      <c r="E56" s="13" t="s">
        <v>70</v>
      </c>
      <c r="F56" s="13" t="s">
        <v>236</v>
      </c>
      <c r="G56" s="13" t="s">
        <v>237</v>
      </c>
      <c r="H56" s="28" t="s">
        <v>88</v>
      </c>
      <c r="I56" s="28" t="s">
        <v>89</v>
      </c>
      <c r="J56" s="28" t="s">
        <v>240</v>
      </c>
      <c r="K56" s="14" t="s">
        <v>241</v>
      </c>
      <c r="L56" s="29" t="s">
        <v>90</v>
      </c>
      <c r="M56" s="14" t="str">
        <f t="shared" si="4"/>
        <v xml:space="preserve"> &gt; 10</v>
      </c>
      <c r="N56" s="28" t="s">
        <v>87</v>
      </c>
      <c r="O56" s="28" t="s">
        <v>91</v>
      </c>
      <c r="P56" s="28" t="str">
        <f>" &gt; "&amp;$P$13</f>
        <v xml:space="preserve"> &gt; 5,06</v>
      </c>
      <c r="Q56" s="27" t="s">
        <v>113</v>
      </c>
      <c r="R56" s="28" t="s">
        <v>183</v>
      </c>
      <c r="S56" s="14" t="s">
        <v>217</v>
      </c>
    </row>
    <row r="57" spans="3:19" x14ac:dyDescent="0.3">
      <c r="C57" s="12" t="s">
        <v>9</v>
      </c>
      <c r="D57" s="13" t="s">
        <v>69</v>
      </c>
      <c r="E57" s="13" t="s">
        <v>70</v>
      </c>
      <c r="F57" s="13" t="s">
        <v>236</v>
      </c>
      <c r="G57" s="13" t="s">
        <v>237</v>
      </c>
      <c r="H57" s="28" t="s">
        <v>88</v>
      </c>
      <c r="I57" s="28" t="s">
        <v>89</v>
      </c>
      <c r="J57" s="28" t="s">
        <v>240</v>
      </c>
      <c r="K57" s="14" t="s">
        <v>241</v>
      </c>
      <c r="L57" s="29" t="s">
        <v>90</v>
      </c>
      <c r="M57" s="14" t="str">
        <f t="shared" si="4"/>
        <v xml:space="preserve"> &gt; 10</v>
      </c>
      <c r="N57" s="28" t="s">
        <v>87</v>
      </c>
      <c r="O57" s="28" t="s">
        <v>91</v>
      </c>
      <c r="P57" s="28" t="str">
        <f>" &gt; "&amp;$P$14</f>
        <v xml:space="preserve"> &gt; 6,75</v>
      </c>
      <c r="Q57" s="27" t="s">
        <v>114</v>
      </c>
      <c r="R57" s="28" t="s">
        <v>184</v>
      </c>
      <c r="S57" s="14" t="s">
        <v>218</v>
      </c>
    </row>
    <row r="58" spans="3:19" x14ac:dyDescent="0.3">
      <c r="D58" s="15"/>
      <c r="E58" s="15"/>
      <c r="F58" s="15"/>
      <c r="G58" s="15"/>
      <c r="H58" s="15"/>
      <c r="I58" s="15"/>
      <c r="J58" s="15"/>
      <c r="K58" s="15"/>
      <c r="L58" s="26"/>
      <c r="M58" s="16"/>
      <c r="N58" s="17"/>
      <c r="O58" s="17"/>
      <c r="P58" s="17"/>
      <c r="Q58" s="17"/>
      <c r="R58" s="31"/>
      <c r="S58" s="17"/>
    </row>
    <row r="59" spans="3:19" x14ac:dyDescent="0.3">
      <c r="C59" s="12" t="s">
        <v>61</v>
      </c>
      <c r="D59" s="13" t="s">
        <v>69</v>
      </c>
      <c r="E59" s="13" t="s">
        <v>70</v>
      </c>
      <c r="F59" s="13" t="s">
        <v>236</v>
      </c>
      <c r="G59" s="13" t="s">
        <v>237</v>
      </c>
      <c r="H59" s="28" t="s">
        <v>88</v>
      </c>
      <c r="I59" s="28" t="s">
        <v>89</v>
      </c>
      <c r="J59" s="28" t="s">
        <v>240</v>
      </c>
      <c r="K59" s="14" t="s">
        <v>241</v>
      </c>
      <c r="L59" s="29" t="s">
        <v>90</v>
      </c>
      <c r="M59" s="14" t="str">
        <f t="shared" ref="M59:M64" si="5">" &gt; "&amp;$M$9</f>
        <v xml:space="preserve"> &gt; 10</v>
      </c>
      <c r="N59" s="28" t="s">
        <v>87</v>
      </c>
      <c r="O59" s="28" t="s">
        <v>91</v>
      </c>
      <c r="P59" s="28" t="str">
        <f>"&gt; "&amp;P16</f>
        <v>&gt; 1,15</v>
      </c>
      <c r="Q59" s="27" t="s">
        <v>115</v>
      </c>
      <c r="R59" s="28" t="s">
        <v>185</v>
      </c>
      <c r="S59" s="14" t="s">
        <v>219</v>
      </c>
    </row>
    <row r="60" spans="3:19" x14ac:dyDescent="0.3">
      <c r="C60" s="12" t="s">
        <v>62</v>
      </c>
      <c r="D60" s="13" t="s">
        <v>69</v>
      </c>
      <c r="E60" s="13" t="s">
        <v>70</v>
      </c>
      <c r="F60" s="13" t="s">
        <v>236</v>
      </c>
      <c r="G60" s="13" t="s">
        <v>237</v>
      </c>
      <c r="H60" s="28" t="s">
        <v>88</v>
      </c>
      <c r="I60" s="28" t="s">
        <v>89</v>
      </c>
      <c r="J60" s="28" t="s">
        <v>240</v>
      </c>
      <c r="K60" s="14" t="s">
        <v>241</v>
      </c>
      <c r="L60" s="29" t="s">
        <v>90</v>
      </c>
      <c r="M60" s="14" t="str">
        <f t="shared" si="5"/>
        <v xml:space="preserve"> &gt; 10</v>
      </c>
      <c r="N60" s="28" t="s">
        <v>87</v>
      </c>
      <c r="O60" s="28" t="s">
        <v>91</v>
      </c>
      <c r="P60" s="28" t="str">
        <f>" &gt; "&amp;$P$17</f>
        <v xml:space="preserve"> &gt; 1,75</v>
      </c>
      <c r="Q60" s="27" t="s">
        <v>116</v>
      </c>
      <c r="R60" s="28" t="s">
        <v>174</v>
      </c>
      <c r="S60" s="14" t="s">
        <v>220</v>
      </c>
    </row>
    <row r="61" spans="3:19" x14ac:dyDescent="0.3">
      <c r="C61" s="12" t="s">
        <v>63</v>
      </c>
      <c r="D61" s="13" t="s">
        <v>69</v>
      </c>
      <c r="E61" s="13" t="s">
        <v>70</v>
      </c>
      <c r="F61" s="13" t="s">
        <v>236</v>
      </c>
      <c r="G61" s="13" t="s">
        <v>237</v>
      </c>
      <c r="H61" s="28" t="s">
        <v>88</v>
      </c>
      <c r="I61" s="28" t="s">
        <v>89</v>
      </c>
      <c r="J61" s="28" t="s">
        <v>240</v>
      </c>
      <c r="K61" s="14" t="s">
        <v>241</v>
      </c>
      <c r="L61" s="29" t="s">
        <v>90</v>
      </c>
      <c r="M61" s="14" t="str">
        <f t="shared" si="5"/>
        <v xml:space="preserve"> &gt; 10</v>
      </c>
      <c r="N61" s="28" t="s">
        <v>87</v>
      </c>
      <c r="O61" s="28" t="s">
        <v>91</v>
      </c>
      <c r="P61" s="28" t="str">
        <f>" &gt; "&amp;$P$18</f>
        <v xml:space="preserve"> &gt; 1,18</v>
      </c>
      <c r="Q61" s="27" t="s">
        <v>117</v>
      </c>
      <c r="R61" s="28" t="s">
        <v>186</v>
      </c>
      <c r="S61" s="14" t="s">
        <v>221</v>
      </c>
    </row>
    <row r="62" spans="3:19" x14ac:dyDescent="0.3">
      <c r="C62" s="12" t="s">
        <v>64</v>
      </c>
      <c r="D62" s="13" t="s">
        <v>69</v>
      </c>
      <c r="E62" s="13" t="s">
        <v>70</v>
      </c>
      <c r="F62" s="13" t="s">
        <v>236</v>
      </c>
      <c r="G62" s="13" t="s">
        <v>237</v>
      </c>
      <c r="H62" s="28" t="s">
        <v>88</v>
      </c>
      <c r="I62" s="28" t="s">
        <v>89</v>
      </c>
      <c r="J62" s="28" t="s">
        <v>240</v>
      </c>
      <c r="K62" s="14" t="s">
        <v>241</v>
      </c>
      <c r="L62" s="29" t="s">
        <v>90</v>
      </c>
      <c r="M62" s="14" t="str">
        <f t="shared" si="5"/>
        <v xml:space="preserve"> &gt; 10</v>
      </c>
      <c r="N62" s="28" t="s">
        <v>87</v>
      </c>
      <c r="O62" s="28" t="s">
        <v>91</v>
      </c>
      <c r="P62" s="28" t="str">
        <f>" &gt; "&amp;$P$19</f>
        <v xml:space="preserve"> &gt; 2,04</v>
      </c>
      <c r="Q62" s="27" t="s">
        <v>118</v>
      </c>
      <c r="R62" s="28" t="s">
        <v>187</v>
      </c>
      <c r="S62" s="14" t="s">
        <v>222</v>
      </c>
    </row>
    <row r="63" spans="3:19" x14ac:dyDescent="0.3">
      <c r="C63" s="12" t="s">
        <v>65</v>
      </c>
      <c r="D63" s="13" t="s">
        <v>69</v>
      </c>
      <c r="E63" s="13" t="s">
        <v>70</v>
      </c>
      <c r="F63" s="13" t="s">
        <v>236</v>
      </c>
      <c r="G63" s="13" t="s">
        <v>237</v>
      </c>
      <c r="H63" s="28" t="s">
        <v>88</v>
      </c>
      <c r="I63" s="28" t="s">
        <v>89</v>
      </c>
      <c r="J63" s="28" t="s">
        <v>240</v>
      </c>
      <c r="K63" s="14" t="s">
        <v>241</v>
      </c>
      <c r="L63" s="29" t="s">
        <v>90</v>
      </c>
      <c r="M63" s="14" t="str">
        <f t="shared" si="5"/>
        <v xml:space="preserve"> &gt; 10</v>
      </c>
      <c r="N63" s="28" t="s">
        <v>87</v>
      </c>
      <c r="O63" s="28" t="s">
        <v>91</v>
      </c>
      <c r="P63" s="28" t="str">
        <f>" &gt; "&amp;$P$20</f>
        <v xml:space="preserve"> &gt; 2,48</v>
      </c>
      <c r="Q63" s="27" t="s">
        <v>119</v>
      </c>
      <c r="R63" s="28" t="s">
        <v>188</v>
      </c>
      <c r="S63" s="14" t="s">
        <v>223</v>
      </c>
    </row>
    <row r="64" spans="3:19" x14ac:dyDescent="0.3">
      <c r="C64" s="12" t="s">
        <v>66</v>
      </c>
      <c r="D64" s="13" t="s">
        <v>69</v>
      </c>
      <c r="E64" s="13" t="s">
        <v>70</v>
      </c>
      <c r="F64" s="13" t="s">
        <v>236</v>
      </c>
      <c r="G64" s="13" t="s">
        <v>237</v>
      </c>
      <c r="H64" s="28" t="s">
        <v>88</v>
      </c>
      <c r="I64" s="28" t="s">
        <v>89</v>
      </c>
      <c r="J64" s="28" t="s">
        <v>240</v>
      </c>
      <c r="K64" s="14" t="s">
        <v>241</v>
      </c>
      <c r="L64" s="29" t="s">
        <v>90</v>
      </c>
      <c r="M64" s="14" t="str">
        <f t="shared" si="5"/>
        <v xml:space="preserve"> &gt; 10</v>
      </c>
      <c r="N64" s="28" t="s">
        <v>87</v>
      </c>
      <c r="O64" s="28" t="s">
        <v>91</v>
      </c>
      <c r="P64" s="28" t="str">
        <f>" &gt; "&amp;$P$21</f>
        <v xml:space="preserve"> &gt; 5,6</v>
      </c>
      <c r="Q64" s="27" t="s">
        <v>120</v>
      </c>
      <c r="R64" s="28" t="s">
        <v>189</v>
      </c>
      <c r="S64" s="14" t="s">
        <v>224</v>
      </c>
    </row>
    <row r="67" spans="3:19" x14ac:dyDescent="0.3">
      <c r="F67" s="37" t="s">
        <v>125</v>
      </c>
      <c r="G67" s="37"/>
      <c r="H67" s="37"/>
      <c r="I67" s="37"/>
      <c r="J67" s="32" t="s">
        <v>242</v>
      </c>
    </row>
    <row r="68" spans="3:19" x14ac:dyDescent="0.3">
      <c r="F68" s="37"/>
      <c r="G68" s="37"/>
      <c r="H68" s="37"/>
      <c r="I68" s="37"/>
    </row>
    <row r="69" spans="3:19" x14ac:dyDescent="0.3">
      <c r="F69" s="38" t="s">
        <v>67</v>
      </c>
      <c r="G69" s="38"/>
      <c r="H69" s="38"/>
      <c r="I69" s="38"/>
      <c r="J69" s="38"/>
      <c r="K69" s="38"/>
      <c r="L69" s="38"/>
      <c r="M69" s="38"/>
      <c r="N69" s="38"/>
      <c r="O69" s="38"/>
    </row>
    <row r="71" spans="3:19" x14ac:dyDescent="0.3">
      <c r="D71" s="10" t="s">
        <v>51</v>
      </c>
      <c r="E71" s="10" t="s">
        <v>52</v>
      </c>
      <c r="F71" s="10" t="s">
        <v>228</v>
      </c>
      <c r="G71" s="10" t="s">
        <v>230</v>
      </c>
      <c r="H71" s="10" t="s">
        <v>74</v>
      </c>
      <c r="I71" s="10" t="s">
        <v>75</v>
      </c>
      <c r="J71" s="10" t="s">
        <v>227</v>
      </c>
      <c r="K71" s="10" t="s">
        <v>226</v>
      </c>
      <c r="L71" s="10" t="s">
        <v>53</v>
      </c>
      <c r="M71" s="10" t="s">
        <v>54</v>
      </c>
      <c r="N71" s="10" t="s">
        <v>55</v>
      </c>
      <c r="O71" s="10" t="s">
        <v>56</v>
      </c>
      <c r="P71" s="10" t="s">
        <v>57</v>
      </c>
      <c r="Q71" s="10" t="s">
        <v>58</v>
      </c>
      <c r="R71" s="10" t="s">
        <v>71</v>
      </c>
      <c r="S71" s="10" t="s">
        <v>72</v>
      </c>
    </row>
    <row r="72" spans="3:19" x14ac:dyDescent="0.3">
      <c r="D72" s="11" t="s">
        <v>68</v>
      </c>
      <c r="E72" s="11" t="s">
        <v>68</v>
      </c>
      <c r="F72" s="11" t="s">
        <v>68</v>
      </c>
      <c r="G72" s="11" t="s">
        <v>68</v>
      </c>
      <c r="H72" s="11" t="s">
        <v>68</v>
      </c>
      <c r="I72" s="11" t="s">
        <v>68</v>
      </c>
      <c r="J72" s="11" t="s">
        <v>68</v>
      </c>
      <c r="K72" s="11" t="s">
        <v>68</v>
      </c>
      <c r="L72" s="11" t="s">
        <v>68</v>
      </c>
      <c r="M72" s="11" t="s">
        <v>68</v>
      </c>
      <c r="N72" s="11" t="s">
        <v>59</v>
      </c>
      <c r="O72" s="11" t="s">
        <v>59</v>
      </c>
      <c r="P72" s="11" t="s">
        <v>60</v>
      </c>
      <c r="Q72" s="11" t="s">
        <v>60</v>
      </c>
      <c r="R72" s="11" t="s">
        <v>73</v>
      </c>
      <c r="S72" s="11" t="s">
        <v>73</v>
      </c>
    </row>
    <row r="73" spans="3:19" x14ac:dyDescent="0.3">
      <c r="C73" s="12" t="s">
        <v>4</v>
      </c>
      <c r="D73" s="13" t="s">
        <v>69</v>
      </c>
      <c r="E73" s="13" t="s">
        <v>70</v>
      </c>
      <c r="F73" s="13" t="s">
        <v>236</v>
      </c>
      <c r="G73" s="13" t="s">
        <v>237</v>
      </c>
      <c r="H73" s="28" t="s">
        <v>88</v>
      </c>
      <c r="I73" s="28" t="s">
        <v>89</v>
      </c>
      <c r="J73" s="28" t="s">
        <v>240</v>
      </c>
      <c r="K73" s="28" t="s">
        <v>239</v>
      </c>
      <c r="L73" s="29" t="s">
        <v>90</v>
      </c>
      <c r="M73" s="28" t="str">
        <f t="shared" ref="M73:M78" si="6">" &lt; "&amp;$M$9</f>
        <v xml:space="preserve"> &lt; 10</v>
      </c>
      <c r="N73" s="14" t="s">
        <v>127</v>
      </c>
      <c r="O73" s="14" t="s">
        <v>128</v>
      </c>
      <c r="P73" s="28" t="str">
        <f>" &gt; "&amp;P9</f>
        <v xml:space="preserve"> &gt; 1,11</v>
      </c>
      <c r="Q73" s="30" t="s">
        <v>92</v>
      </c>
      <c r="R73" s="35" t="s">
        <v>179</v>
      </c>
      <c r="S73" s="28" t="s">
        <v>201</v>
      </c>
    </row>
    <row r="74" spans="3:19" x14ac:dyDescent="0.3">
      <c r="C74" s="12" t="s">
        <v>5</v>
      </c>
      <c r="D74" s="13" t="s">
        <v>69</v>
      </c>
      <c r="E74" s="13" t="s">
        <v>70</v>
      </c>
      <c r="F74" s="13" t="s">
        <v>236</v>
      </c>
      <c r="G74" s="13" t="s">
        <v>237</v>
      </c>
      <c r="H74" s="28" t="s">
        <v>88</v>
      </c>
      <c r="I74" s="28" t="s">
        <v>89</v>
      </c>
      <c r="J74" s="28" t="s">
        <v>240</v>
      </c>
      <c r="K74" s="28" t="s">
        <v>239</v>
      </c>
      <c r="L74" s="29" t="s">
        <v>90</v>
      </c>
      <c r="M74" s="28" t="str">
        <f t="shared" si="6"/>
        <v xml:space="preserve"> &lt; 10</v>
      </c>
      <c r="N74" s="14" t="s">
        <v>127</v>
      </c>
      <c r="O74" s="14" t="s">
        <v>128</v>
      </c>
      <c r="P74" s="28" t="str">
        <f>" &gt; "&amp;$P$10</f>
        <v xml:space="preserve"> &gt; 1,78</v>
      </c>
      <c r="Q74" s="30" t="s">
        <v>93</v>
      </c>
      <c r="R74" s="28" t="s">
        <v>180</v>
      </c>
      <c r="S74" s="28" t="s">
        <v>202</v>
      </c>
    </row>
    <row r="75" spans="3:19" x14ac:dyDescent="0.3">
      <c r="C75" s="12" t="s">
        <v>6</v>
      </c>
      <c r="D75" s="13" t="s">
        <v>69</v>
      </c>
      <c r="E75" s="13" t="s">
        <v>70</v>
      </c>
      <c r="F75" s="13" t="s">
        <v>236</v>
      </c>
      <c r="G75" s="13" t="s">
        <v>237</v>
      </c>
      <c r="H75" s="28" t="s">
        <v>88</v>
      </c>
      <c r="I75" s="28" t="s">
        <v>89</v>
      </c>
      <c r="J75" s="28" t="s">
        <v>240</v>
      </c>
      <c r="K75" s="28" t="s">
        <v>239</v>
      </c>
      <c r="L75" s="29" t="s">
        <v>90</v>
      </c>
      <c r="M75" s="28" t="str">
        <f t="shared" si="6"/>
        <v xml:space="preserve"> &lt; 10</v>
      </c>
      <c r="N75" s="14" t="s">
        <v>127</v>
      </c>
      <c r="O75" s="14" t="s">
        <v>128</v>
      </c>
      <c r="P75" s="28" t="str">
        <f>" &gt; "&amp;$P$11</f>
        <v xml:space="preserve"> &gt; 2,39</v>
      </c>
      <c r="Q75" s="30" t="s">
        <v>94</v>
      </c>
      <c r="R75" s="28" t="s">
        <v>181</v>
      </c>
      <c r="S75" s="28" t="s">
        <v>203</v>
      </c>
    </row>
    <row r="76" spans="3:19" x14ac:dyDescent="0.3">
      <c r="C76" s="12" t="s">
        <v>7</v>
      </c>
      <c r="D76" s="13" t="s">
        <v>69</v>
      </c>
      <c r="E76" s="13" t="s">
        <v>70</v>
      </c>
      <c r="F76" s="13" t="s">
        <v>236</v>
      </c>
      <c r="G76" s="13" t="s">
        <v>237</v>
      </c>
      <c r="H76" s="28" t="s">
        <v>88</v>
      </c>
      <c r="I76" s="28" t="s">
        <v>89</v>
      </c>
      <c r="J76" s="28" t="s">
        <v>240</v>
      </c>
      <c r="K76" s="28" t="s">
        <v>239</v>
      </c>
      <c r="L76" s="29" t="s">
        <v>90</v>
      </c>
      <c r="M76" s="28" t="str">
        <f t="shared" si="6"/>
        <v xml:space="preserve"> &lt; 10</v>
      </c>
      <c r="N76" s="14" t="s">
        <v>127</v>
      </c>
      <c r="O76" s="14" t="s">
        <v>128</v>
      </c>
      <c r="P76" s="28" t="str">
        <f>" &gt; "&amp;$P$12</f>
        <v xml:space="preserve"> &gt; 3,15</v>
      </c>
      <c r="Q76" s="30" t="s">
        <v>95</v>
      </c>
      <c r="R76" s="28" t="s">
        <v>182</v>
      </c>
      <c r="S76" s="28" t="s">
        <v>204</v>
      </c>
    </row>
    <row r="77" spans="3:19" x14ac:dyDescent="0.3">
      <c r="C77" s="12" t="s">
        <v>8</v>
      </c>
      <c r="D77" s="13" t="s">
        <v>69</v>
      </c>
      <c r="E77" s="13" t="s">
        <v>70</v>
      </c>
      <c r="F77" s="13" t="s">
        <v>236</v>
      </c>
      <c r="G77" s="13" t="s">
        <v>237</v>
      </c>
      <c r="H77" s="28" t="s">
        <v>88</v>
      </c>
      <c r="I77" s="28" t="s">
        <v>89</v>
      </c>
      <c r="J77" s="28" t="s">
        <v>240</v>
      </c>
      <c r="K77" s="28" t="s">
        <v>239</v>
      </c>
      <c r="L77" s="29" t="s">
        <v>90</v>
      </c>
      <c r="M77" s="28" t="str">
        <f t="shared" si="6"/>
        <v xml:space="preserve"> &lt; 10</v>
      </c>
      <c r="N77" s="14" t="s">
        <v>127</v>
      </c>
      <c r="O77" s="14" t="s">
        <v>128</v>
      </c>
      <c r="P77" s="28" t="str">
        <f>" &gt; "&amp;$P$13</f>
        <v xml:space="preserve"> &gt; 5,06</v>
      </c>
      <c r="Q77" s="30" t="s">
        <v>96</v>
      </c>
      <c r="R77" s="28" t="s">
        <v>183</v>
      </c>
      <c r="S77" s="28" t="s">
        <v>205</v>
      </c>
    </row>
    <row r="78" spans="3:19" x14ac:dyDescent="0.3">
      <c r="C78" s="12" t="s">
        <v>9</v>
      </c>
      <c r="D78" s="13" t="s">
        <v>69</v>
      </c>
      <c r="E78" s="13" t="s">
        <v>70</v>
      </c>
      <c r="F78" s="13" t="s">
        <v>236</v>
      </c>
      <c r="G78" s="13" t="s">
        <v>237</v>
      </c>
      <c r="H78" s="28" t="s">
        <v>88</v>
      </c>
      <c r="I78" s="28" t="s">
        <v>89</v>
      </c>
      <c r="J78" s="28" t="s">
        <v>240</v>
      </c>
      <c r="K78" s="28" t="s">
        <v>239</v>
      </c>
      <c r="L78" s="29" t="s">
        <v>90</v>
      </c>
      <c r="M78" s="28" t="str">
        <f t="shared" si="6"/>
        <v xml:space="preserve"> &lt; 10</v>
      </c>
      <c r="N78" s="14" t="s">
        <v>127</v>
      </c>
      <c r="O78" s="14" t="s">
        <v>128</v>
      </c>
      <c r="P78" s="28" t="str">
        <f>" &gt; "&amp;$P$14</f>
        <v xml:space="preserve"> &gt; 6,75</v>
      </c>
      <c r="Q78" s="30" t="s">
        <v>97</v>
      </c>
      <c r="R78" s="28" t="s">
        <v>184</v>
      </c>
      <c r="S78" s="28" t="s">
        <v>206</v>
      </c>
    </row>
    <row r="79" spans="3:19" x14ac:dyDescent="0.3">
      <c r="D79" s="15"/>
      <c r="E79" s="15"/>
      <c r="F79" s="15"/>
      <c r="G79" s="15"/>
      <c r="H79" s="15"/>
      <c r="I79" s="15"/>
      <c r="J79" s="15"/>
      <c r="K79" s="15"/>
      <c r="L79" s="26"/>
      <c r="M79" s="16"/>
      <c r="N79" s="17"/>
      <c r="O79" s="17"/>
      <c r="P79" s="17"/>
      <c r="Q79" s="17"/>
      <c r="R79" s="31"/>
      <c r="S79" s="17"/>
    </row>
    <row r="80" spans="3:19" x14ac:dyDescent="0.3">
      <c r="C80" s="12" t="s">
        <v>61</v>
      </c>
      <c r="D80" s="13" t="s">
        <v>69</v>
      </c>
      <c r="E80" s="13" t="s">
        <v>70</v>
      </c>
      <c r="F80" s="13" t="s">
        <v>236</v>
      </c>
      <c r="G80" s="13" t="s">
        <v>237</v>
      </c>
      <c r="H80" s="28" t="s">
        <v>88</v>
      </c>
      <c r="I80" s="28" t="s">
        <v>89</v>
      </c>
      <c r="J80" s="28" t="s">
        <v>240</v>
      </c>
      <c r="K80" s="28" t="s">
        <v>239</v>
      </c>
      <c r="L80" s="29" t="s">
        <v>90</v>
      </c>
      <c r="M80" s="28" t="str">
        <f t="shared" ref="M80:M85" si="7">" &lt; "&amp;$M$9</f>
        <v xml:space="preserve"> &lt; 10</v>
      </c>
      <c r="N80" s="14" t="s">
        <v>127</v>
      </c>
      <c r="O80" s="14" t="s">
        <v>91</v>
      </c>
      <c r="P80" s="28" t="str">
        <f>"&gt; "&amp;P16</f>
        <v>&gt; 1,15</v>
      </c>
      <c r="Q80" s="30" t="s">
        <v>98</v>
      </c>
      <c r="R80" s="28" t="s">
        <v>185</v>
      </c>
      <c r="S80" s="28" t="s">
        <v>207</v>
      </c>
    </row>
    <row r="81" spans="3:19" x14ac:dyDescent="0.3">
      <c r="C81" s="12" t="s">
        <v>62</v>
      </c>
      <c r="D81" s="13" t="s">
        <v>69</v>
      </c>
      <c r="E81" s="13" t="s">
        <v>70</v>
      </c>
      <c r="F81" s="13" t="s">
        <v>236</v>
      </c>
      <c r="G81" s="13" t="s">
        <v>237</v>
      </c>
      <c r="H81" s="28" t="s">
        <v>88</v>
      </c>
      <c r="I81" s="28" t="s">
        <v>89</v>
      </c>
      <c r="J81" s="28" t="s">
        <v>240</v>
      </c>
      <c r="K81" s="28" t="s">
        <v>239</v>
      </c>
      <c r="L81" s="29" t="s">
        <v>90</v>
      </c>
      <c r="M81" s="28" t="str">
        <f t="shared" si="7"/>
        <v xml:space="preserve"> &lt; 10</v>
      </c>
      <c r="N81" s="14" t="s">
        <v>127</v>
      </c>
      <c r="O81" s="14" t="s">
        <v>91</v>
      </c>
      <c r="P81" s="28" t="str">
        <f>" &gt; "&amp;$P$17</f>
        <v xml:space="preserve"> &gt; 1,75</v>
      </c>
      <c r="Q81" s="30" t="s">
        <v>99</v>
      </c>
      <c r="R81" s="28" t="s">
        <v>174</v>
      </c>
      <c r="S81" s="28" t="s">
        <v>208</v>
      </c>
    </row>
    <row r="82" spans="3:19" x14ac:dyDescent="0.3">
      <c r="C82" s="12" t="s">
        <v>63</v>
      </c>
      <c r="D82" s="13" t="s">
        <v>69</v>
      </c>
      <c r="E82" s="13" t="s">
        <v>70</v>
      </c>
      <c r="F82" s="13" t="s">
        <v>236</v>
      </c>
      <c r="G82" s="13" t="s">
        <v>237</v>
      </c>
      <c r="H82" s="28" t="s">
        <v>88</v>
      </c>
      <c r="I82" s="28" t="s">
        <v>89</v>
      </c>
      <c r="J82" s="28" t="s">
        <v>240</v>
      </c>
      <c r="K82" s="28" t="s">
        <v>239</v>
      </c>
      <c r="L82" s="29" t="s">
        <v>90</v>
      </c>
      <c r="M82" s="28" t="str">
        <f t="shared" si="7"/>
        <v xml:space="preserve"> &lt; 10</v>
      </c>
      <c r="N82" s="14" t="s">
        <v>127</v>
      </c>
      <c r="O82" s="14" t="s">
        <v>91</v>
      </c>
      <c r="P82" s="28" t="str">
        <f>" &gt; "&amp;$P$18</f>
        <v xml:space="preserve"> &gt; 1,18</v>
      </c>
      <c r="Q82" s="30" t="s">
        <v>100</v>
      </c>
      <c r="R82" s="28" t="s">
        <v>186</v>
      </c>
      <c r="S82" s="28" t="s">
        <v>209</v>
      </c>
    </row>
    <row r="83" spans="3:19" x14ac:dyDescent="0.3">
      <c r="C83" s="12" t="s">
        <v>64</v>
      </c>
      <c r="D83" s="13" t="s">
        <v>69</v>
      </c>
      <c r="E83" s="13" t="s">
        <v>70</v>
      </c>
      <c r="F83" s="13" t="s">
        <v>236</v>
      </c>
      <c r="G83" s="13" t="s">
        <v>237</v>
      </c>
      <c r="H83" s="28" t="s">
        <v>88</v>
      </c>
      <c r="I83" s="28" t="s">
        <v>89</v>
      </c>
      <c r="J83" s="28" t="s">
        <v>240</v>
      </c>
      <c r="K83" s="28" t="s">
        <v>239</v>
      </c>
      <c r="L83" s="29" t="s">
        <v>90</v>
      </c>
      <c r="M83" s="28" t="str">
        <f t="shared" si="7"/>
        <v xml:space="preserve"> &lt; 10</v>
      </c>
      <c r="N83" s="14" t="s">
        <v>127</v>
      </c>
      <c r="O83" s="14" t="s">
        <v>91</v>
      </c>
      <c r="P83" s="28" t="str">
        <f>" &gt; "&amp;$P$19</f>
        <v xml:space="preserve"> &gt; 2,04</v>
      </c>
      <c r="Q83" s="30" t="s">
        <v>101</v>
      </c>
      <c r="R83" s="28" t="s">
        <v>187</v>
      </c>
      <c r="S83" s="28" t="s">
        <v>210</v>
      </c>
    </row>
    <row r="84" spans="3:19" x14ac:dyDescent="0.3">
      <c r="C84" s="12" t="s">
        <v>65</v>
      </c>
      <c r="D84" s="13" t="s">
        <v>69</v>
      </c>
      <c r="E84" s="13" t="s">
        <v>70</v>
      </c>
      <c r="F84" s="13" t="s">
        <v>236</v>
      </c>
      <c r="G84" s="13" t="s">
        <v>237</v>
      </c>
      <c r="H84" s="28" t="s">
        <v>88</v>
      </c>
      <c r="I84" s="28" t="s">
        <v>89</v>
      </c>
      <c r="J84" s="28" t="s">
        <v>240</v>
      </c>
      <c r="K84" s="28" t="s">
        <v>239</v>
      </c>
      <c r="L84" s="29" t="s">
        <v>90</v>
      </c>
      <c r="M84" s="28" t="str">
        <f t="shared" si="7"/>
        <v xml:space="preserve"> &lt; 10</v>
      </c>
      <c r="N84" s="14" t="s">
        <v>127</v>
      </c>
      <c r="O84" s="14" t="s">
        <v>91</v>
      </c>
      <c r="P84" s="28" t="str">
        <f>" &gt; "&amp;$P$20</f>
        <v xml:space="preserve"> &gt; 2,48</v>
      </c>
      <c r="Q84" s="30" t="s">
        <v>102</v>
      </c>
      <c r="R84" s="28" t="s">
        <v>188</v>
      </c>
      <c r="S84" s="28" t="s">
        <v>211</v>
      </c>
    </row>
    <row r="85" spans="3:19" x14ac:dyDescent="0.3">
      <c r="C85" s="12" t="s">
        <v>66</v>
      </c>
      <c r="D85" s="13" t="s">
        <v>69</v>
      </c>
      <c r="E85" s="13" t="s">
        <v>70</v>
      </c>
      <c r="F85" s="13" t="s">
        <v>236</v>
      </c>
      <c r="G85" s="13" t="s">
        <v>237</v>
      </c>
      <c r="H85" s="28" t="s">
        <v>88</v>
      </c>
      <c r="I85" s="28" t="s">
        <v>89</v>
      </c>
      <c r="J85" s="28" t="s">
        <v>240</v>
      </c>
      <c r="K85" s="28" t="s">
        <v>239</v>
      </c>
      <c r="L85" s="29" t="s">
        <v>90</v>
      </c>
      <c r="M85" s="28" t="str">
        <f t="shared" si="7"/>
        <v xml:space="preserve"> &lt; 10</v>
      </c>
      <c r="N85" s="14" t="s">
        <v>127</v>
      </c>
      <c r="O85" s="14" t="s">
        <v>91</v>
      </c>
      <c r="P85" s="28" t="str">
        <f>" &gt; "&amp;$P$21</f>
        <v xml:space="preserve"> &gt; 5,6</v>
      </c>
      <c r="Q85" s="30" t="s">
        <v>103</v>
      </c>
      <c r="R85" s="28" t="s">
        <v>189</v>
      </c>
      <c r="S85" s="28" t="s">
        <v>212</v>
      </c>
    </row>
  </sheetData>
  <mergeCells count="8">
    <mergeCell ref="F67:I68"/>
    <mergeCell ref="F69:O69"/>
    <mergeCell ref="F5:O5"/>
    <mergeCell ref="F3:I4"/>
    <mergeCell ref="F25:I26"/>
    <mergeCell ref="F27:O27"/>
    <mergeCell ref="F46:I47"/>
    <mergeCell ref="F48:O4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4BA6F-9421-4C89-9793-AC84DDB87FBE}">
  <dimension ref="D7:K54"/>
  <sheetViews>
    <sheetView topLeftCell="A19" zoomScale="85" zoomScaleNormal="85" workbookViewId="0">
      <selection activeCell="D7" sqref="D7:F54"/>
    </sheetView>
  </sheetViews>
  <sheetFormatPr defaultRowHeight="14.4" x14ac:dyDescent="0.3"/>
  <sheetData>
    <row r="7" spans="4:8" x14ac:dyDescent="0.3">
      <c r="D7" s="16" t="s">
        <v>76</v>
      </c>
      <c r="E7" s="16" t="s">
        <v>77</v>
      </c>
      <c r="F7" s="16" t="s">
        <v>78</v>
      </c>
    </row>
    <row r="8" spans="4:8" x14ac:dyDescent="0.3">
      <c r="D8" s="19">
        <v>18</v>
      </c>
      <c r="E8" s="19">
        <v>-23</v>
      </c>
      <c r="F8" s="19">
        <f>D8+E8</f>
        <v>-5</v>
      </c>
    </row>
    <row r="9" spans="4:8" x14ac:dyDescent="0.3">
      <c r="D9" s="19">
        <v>18</v>
      </c>
      <c r="E9" s="19">
        <v>-22</v>
      </c>
      <c r="F9" s="19">
        <f t="shared" ref="F9:F54" si="0">D9+E9</f>
        <v>-4</v>
      </c>
    </row>
    <row r="10" spans="4:8" x14ac:dyDescent="0.3">
      <c r="D10" s="19">
        <v>18</v>
      </c>
      <c r="E10" s="19">
        <v>-21</v>
      </c>
      <c r="F10" s="19">
        <f t="shared" si="0"/>
        <v>-3</v>
      </c>
    </row>
    <row r="11" spans="4:8" x14ac:dyDescent="0.3">
      <c r="D11" s="19">
        <v>18</v>
      </c>
      <c r="E11" s="19">
        <v>-20</v>
      </c>
      <c r="F11" s="19">
        <f t="shared" si="0"/>
        <v>-2</v>
      </c>
    </row>
    <row r="12" spans="4:8" x14ac:dyDescent="0.3">
      <c r="D12" s="19">
        <v>18</v>
      </c>
      <c r="E12" s="19">
        <v>-19</v>
      </c>
      <c r="F12" s="19">
        <f t="shared" si="0"/>
        <v>-1</v>
      </c>
    </row>
    <row r="13" spans="4:8" x14ac:dyDescent="0.3">
      <c r="D13" s="19">
        <v>18</v>
      </c>
      <c r="E13" s="19">
        <v>-18</v>
      </c>
      <c r="F13" s="19">
        <f t="shared" si="0"/>
        <v>0</v>
      </c>
    </row>
    <row r="14" spans="4:8" x14ac:dyDescent="0.3">
      <c r="D14" s="19">
        <v>18</v>
      </c>
      <c r="E14" s="19">
        <v>-17</v>
      </c>
      <c r="F14" s="19">
        <f t="shared" si="0"/>
        <v>1</v>
      </c>
    </row>
    <row r="15" spans="4:8" x14ac:dyDescent="0.3">
      <c r="D15" s="19">
        <v>18</v>
      </c>
      <c r="E15" s="19">
        <v>-16</v>
      </c>
      <c r="F15" s="19">
        <f t="shared" si="0"/>
        <v>2</v>
      </c>
      <c r="H15" t="s">
        <v>79</v>
      </c>
    </row>
    <row r="16" spans="4:8" x14ac:dyDescent="0.3">
      <c r="D16" s="19">
        <v>18</v>
      </c>
      <c r="E16" s="19">
        <v>-15</v>
      </c>
      <c r="F16" s="19">
        <f t="shared" si="0"/>
        <v>3</v>
      </c>
    </row>
    <row r="17" spans="4:11" x14ac:dyDescent="0.3">
      <c r="D17" s="19">
        <v>18</v>
      </c>
      <c r="E17" s="19">
        <v>-14</v>
      </c>
      <c r="F17" s="19">
        <f t="shared" si="0"/>
        <v>4</v>
      </c>
      <c r="H17" t="s">
        <v>80</v>
      </c>
      <c r="K17" t="s">
        <v>81</v>
      </c>
    </row>
    <row r="18" spans="4:11" x14ac:dyDescent="0.3">
      <c r="D18" s="19">
        <v>18</v>
      </c>
      <c r="E18" s="19">
        <v>-13</v>
      </c>
      <c r="F18" s="19">
        <f t="shared" si="0"/>
        <v>5</v>
      </c>
    </row>
    <row r="19" spans="4:11" x14ac:dyDescent="0.3">
      <c r="D19" s="19">
        <v>18</v>
      </c>
      <c r="E19" s="19">
        <v>-12</v>
      </c>
      <c r="F19" s="19">
        <f t="shared" si="0"/>
        <v>6</v>
      </c>
      <c r="H19" t="s">
        <v>82</v>
      </c>
      <c r="K19" t="s">
        <v>81</v>
      </c>
    </row>
    <row r="20" spans="4:11" x14ac:dyDescent="0.3">
      <c r="D20" s="19">
        <v>18</v>
      </c>
      <c r="E20" s="19">
        <v>-11</v>
      </c>
      <c r="F20" s="19">
        <f t="shared" si="0"/>
        <v>7</v>
      </c>
    </row>
    <row r="21" spans="4:11" x14ac:dyDescent="0.3">
      <c r="D21" s="19">
        <v>18</v>
      </c>
      <c r="E21" s="19">
        <v>-10</v>
      </c>
      <c r="F21" s="19">
        <f t="shared" si="0"/>
        <v>8</v>
      </c>
    </row>
    <row r="22" spans="4:11" x14ac:dyDescent="0.3">
      <c r="D22" s="20">
        <v>18</v>
      </c>
      <c r="E22" s="20">
        <v>-9</v>
      </c>
      <c r="F22" s="20">
        <f t="shared" si="0"/>
        <v>9</v>
      </c>
    </row>
    <row r="23" spans="4:11" x14ac:dyDescent="0.3">
      <c r="D23" s="20">
        <v>18</v>
      </c>
      <c r="E23" s="20">
        <v>-8</v>
      </c>
      <c r="F23" s="20">
        <f t="shared" si="0"/>
        <v>10</v>
      </c>
    </row>
    <row r="24" spans="4:11" x14ac:dyDescent="0.3">
      <c r="D24" s="20">
        <v>18</v>
      </c>
      <c r="E24" s="20">
        <v>-7</v>
      </c>
      <c r="F24" s="20">
        <f t="shared" si="0"/>
        <v>11</v>
      </c>
    </row>
    <row r="25" spans="4:11" x14ac:dyDescent="0.3">
      <c r="D25" s="20">
        <v>18</v>
      </c>
      <c r="E25" s="20">
        <v>-6</v>
      </c>
      <c r="F25" s="20">
        <f t="shared" si="0"/>
        <v>12</v>
      </c>
    </row>
    <row r="26" spans="4:11" x14ac:dyDescent="0.3">
      <c r="D26" s="20">
        <v>18</v>
      </c>
      <c r="E26" s="20">
        <v>-5</v>
      </c>
      <c r="F26" s="20">
        <f t="shared" si="0"/>
        <v>13</v>
      </c>
    </row>
    <row r="27" spans="4:11" x14ac:dyDescent="0.3">
      <c r="D27" s="20">
        <v>18</v>
      </c>
      <c r="E27" s="20">
        <v>-4</v>
      </c>
      <c r="F27" s="20">
        <f t="shared" si="0"/>
        <v>14</v>
      </c>
    </row>
    <row r="28" spans="4:11" x14ac:dyDescent="0.3">
      <c r="D28" s="20">
        <v>18</v>
      </c>
      <c r="E28" s="20">
        <v>-3</v>
      </c>
      <c r="F28" s="20">
        <f t="shared" si="0"/>
        <v>15</v>
      </c>
    </row>
    <row r="29" spans="4:11" x14ac:dyDescent="0.3">
      <c r="D29" s="21">
        <v>18</v>
      </c>
      <c r="E29" s="21">
        <v>-2</v>
      </c>
      <c r="F29" s="21">
        <f t="shared" si="0"/>
        <v>16</v>
      </c>
    </row>
    <row r="30" spans="4:11" x14ac:dyDescent="0.3">
      <c r="D30" s="21">
        <v>18</v>
      </c>
      <c r="E30" s="21">
        <v>-1</v>
      </c>
      <c r="F30" s="21">
        <f t="shared" si="0"/>
        <v>17</v>
      </c>
    </row>
    <row r="31" spans="4:11" x14ac:dyDescent="0.3">
      <c r="D31" s="21">
        <v>18</v>
      </c>
      <c r="E31" s="21">
        <v>0</v>
      </c>
      <c r="F31" s="21">
        <f t="shared" si="0"/>
        <v>18</v>
      </c>
    </row>
    <row r="32" spans="4:11" x14ac:dyDescent="0.3">
      <c r="D32" s="21">
        <v>18</v>
      </c>
      <c r="E32" s="21">
        <v>1</v>
      </c>
      <c r="F32" s="21">
        <f t="shared" si="0"/>
        <v>19</v>
      </c>
    </row>
    <row r="33" spans="4:6" x14ac:dyDescent="0.3">
      <c r="D33" s="21">
        <v>18</v>
      </c>
      <c r="E33" s="21">
        <v>2</v>
      </c>
      <c r="F33" s="21">
        <f t="shared" si="0"/>
        <v>20</v>
      </c>
    </row>
    <row r="34" spans="4:6" x14ac:dyDescent="0.3">
      <c r="D34" s="22">
        <v>18</v>
      </c>
      <c r="E34" s="22">
        <v>3</v>
      </c>
      <c r="F34" s="22">
        <f t="shared" si="0"/>
        <v>21</v>
      </c>
    </row>
    <row r="35" spans="4:6" x14ac:dyDescent="0.3">
      <c r="D35" s="22">
        <v>18</v>
      </c>
      <c r="E35" s="22">
        <v>4</v>
      </c>
      <c r="F35" s="22">
        <f t="shared" si="0"/>
        <v>22</v>
      </c>
    </row>
    <row r="36" spans="4:6" x14ac:dyDescent="0.3">
      <c r="D36" s="22">
        <v>18</v>
      </c>
      <c r="E36" s="22">
        <v>5</v>
      </c>
      <c r="F36" s="22">
        <f t="shared" si="0"/>
        <v>23</v>
      </c>
    </row>
    <row r="37" spans="4:6" x14ac:dyDescent="0.3">
      <c r="D37" s="22">
        <v>18</v>
      </c>
      <c r="E37" s="22">
        <v>6</v>
      </c>
      <c r="F37" s="22">
        <f t="shared" si="0"/>
        <v>24</v>
      </c>
    </row>
    <row r="38" spans="4:6" x14ac:dyDescent="0.3">
      <c r="D38" s="22">
        <v>18</v>
      </c>
      <c r="E38" s="22">
        <v>7</v>
      </c>
      <c r="F38" s="22">
        <f t="shared" si="0"/>
        <v>25</v>
      </c>
    </row>
    <row r="39" spans="4:6" x14ac:dyDescent="0.3">
      <c r="D39" s="20">
        <v>18</v>
      </c>
      <c r="E39" s="20">
        <v>8</v>
      </c>
      <c r="F39" s="20">
        <f t="shared" si="0"/>
        <v>26</v>
      </c>
    </row>
    <row r="40" spans="4:6" x14ac:dyDescent="0.3">
      <c r="D40" s="20">
        <v>18</v>
      </c>
      <c r="E40" s="20">
        <v>9</v>
      </c>
      <c r="F40" s="20">
        <f t="shared" si="0"/>
        <v>27</v>
      </c>
    </row>
    <row r="41" spans="4:6" x14ac:dyDescent="0.3">
      <c r="D41" s="20">
        <v>18</v>
      </c>
      <c r="E41" s="20">
        <v>10</v>
      </c>
      <c r="F41" s="20">
        <f t="shared" si="0"/>
        <v>28</v>
      </c>
    </row>
    <row r="42" spans="4:6" x14ac:dyDescent="0.3">
      <c r="D42" s="19">
        <v>18</v>
      </c>
      <c r="E42" s="19">
        <v>11</v>
      </c>
      <c r="F42" s="19">
        <f t="shared" si="0"/>
        <v>29</v>
      </c>
    </row>
    <row r="43" spans="4:6" x14ac:dyDescent="0.3">
      <c r="D43" s="19">
        <v>18</v>
      </c>
      <c r="E43" s="19">
        <v>12</v>
      </c>
      <c r="F43" s="19">
        <f t="shared" si="0"/>
        <v>30</v>
      </c>
    </row>
    <row r="44" spans="4:6" x14ac:dyDescent="0.3">
      <c r="D44" s="19">
        <v>18</v>
      </c>
      <c r="E44" s="19">
        <v>13</v>
      </c>
      <c r="F44" s="19">
        <f t="shared" si="0"/>
        <v>31</v>
      </c>
    </row>
    <row r="45" spans="4:6" x14ac:dyDescent="0.3">
      <c r="D45" s="19">
        <v>18</v>
      </c>
      <c r="E45" s="19">
        <v>14</v>
      </c>
      <c r="F45" s="19">
        <f t="shared" si="0"/>
        <v>32</v>
      </c>
    </row>
    <row r="46" spans="4:6" x14ac:dyDescent="0.3">
      <c r="D46" s="19">
        <v>18</v>
      </c>
      <c r="E46" s="19">
        <v>15</v>
      </c>
      <c r="F46" s="19">
        <f t="shared" si="0"/>
        <v>33</v>
      </c>
    </row>
    <row r="47" spans="4:6" x14ac:dyDescent="0.3">
      <c r="D47" s="19">
        <v>18</v>
      </c>
      <c r="E47" s="19">
        <v>16</v>
      </c>
      <c r="F47" s="19">
        <f t="shared" si="0"/>
        <v>34</v>
      </c>
    </row>
    <row r="48" spans="4:6" x14ac:dyDescent="0.3">
      <c r="D48" s="19">
        <v>18</v>
      </c>
      <c r="E48" s="19">
        <v>17</v>
      </c>
      <c r="F48" s="19">
        <f t="shared" si="0"/>
        <v>35</v>
      </c>
    </row>
    <row r="49" spans="4:6" x14ac:dyDescent="0.3">
      <c r="D49" s="19">
        <v>18</v>
      </c>
      <c r="E49" s="19">
        <v>18</v>
      </c>
      <c r="F49" s="19">
        <f t="shared" si="0"/>
        <v>36</v>
      </c>
    </row>
    <row r="50" spans="4:6" x14ac:dyDescent="0.3">
      <c r="D50" s="19">
        <v>18</v>
      </c>
      <c r="E50" s="19">
        <v>19</v>
      </c>
      <c r="F50" s="19">
        <f t="shared" si="0"/>
        <v>37</v>
      </c>
    </row>
    <row r="51" spans="4:6" x14ac:dyDescent="0.3">
      <c r="D51" s="19">
        <v>18</v>
      </c>
      <c r="E51" s="19">
        <v>20</v>
      </c>
      <c r="F51" s="19">
        <f t="shared" si="0"/>
        <v>38</v>
      </c>
    </row>
    <row r="52" spans="4:6" x14ac:dyDescent="0.3">
      <c r="D52" s="19">
        <v>18</v>
      </c>
      <c r="E52" s="19">
        <v>21</v>
      </c>
      <c r="F52" s="19">
        <f t="shared" si="0"/>
        <v>39</v>
      </c>
    </row>
    <row r="53" spans="4:6" x14ac:dyDescent="0.3">
      <c r="D53" s="19">
        <v>18</v>
      </c>
      <c r="E53" s="19">
        <v>22</v>
      </c>
      <c r="F53" s="19">
        <f t="shared" si="0"/>
        <v>40</v>
      </c>
    </row>
    <row r="54" spans="4:6" x14ac:dyDescent="0.3">
      <c r="D54" s="19">
        <v>18</v>
      </c>
      <c r="E54" s="19">
        <v>23</v>
      </c>
      <c r="F54" s="19">
        <f t="shared" si="0"/>
        <v>41</v>
      </c>
    </row>
  </sheetData>
  <conditionalFormatting sqref="C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D7D60-FB97-429F-BC0B-004154AF82D4}">
  <dimension ref="D6:M55"/>
  <sheetViews>
    <sheetView topLeftCell="B27" workbookViewId="0">
      <selection activeCell="K48" sqref="K48"/>
    </sheetView>
  </sheetViews>
  <sheetFormatPr defaultRowHeight="14.4" x14ac:dyDescent="0.3"/>
  <sheetData>
    <row r="6" spans="4:13" x14ac:dyDescent="0.3">
      <c r="D6" s="16" t="s">
        <v>76</v>
      </c>
      <c r="E6" s="16" t="s">
        <v>228</v>
      </c>
      <c r="F6" s="16" t="s">
        <v>229</v>
      </c>
      <c r="G6" s="16" t="s">
        <v>230</v>
      </c>
      <c r="H6" s="16" t="s">
        <v>78</v>
      </c>
    </row>
    <row r="7" spans="4:13" x14ac:dyDescent="0.3">
      <c r="D7" s="19">
        <v>18</v>
      </c>
      <c r="E7" s="19">
        <f t="shared" ref="E7:E28" si="0">D7-0.5</f>
        <v>17.5</v>
      </c>
      <c r="F7" s="19">
        <v>-23</v>
      </c>
      <c r="G7" s="19">
        <f t="shared" ref="G7:G55" si="1">E7+F7</f>
        <v>-5.5</v>
      </c>
      <c r="H7" s="19">
        <f t="shared" ref="H7:H28" si="2">G7+2</f>
        <v>-3.5</v>
      </c>
    </row>
    <row r="8" spans="4:13" x14ac:dyDescent="0.3">
      <c r="D8" s="19">
        <v>18</v>
      </c>
      <c r="E8" s="19">
        <f t="shared" si="0"/>
        <v>17.5</v>
      </c>
      <c r="F8" s="19">
        <v>-22</v>
      </c>
      <c r="G8" s="19">
        <f t="shared" si="1"/>
        <v>-4.5</v>
      </c>
      <c r="H8" s="19">
        <f t="shared" si="2"/>
        <v>-2.5</v>
      </c>
    </row>
    <row r="9" spans="4:13" x14ac:dyDescent="0.3">
      <c r="D9" s="19">
        <v>18</v>
      </c>
      <c r="E9" s="19">
        <f t="shared" si="0"/>
        <v>17.5</v>
      </c>
      <c r="F9" s="19">
        <v>-21</v>
      </c>
      <c r="G9" s="19">
        <f t="shared" si="1"/>
        <v>-3.5</v>
      </c>
      <c r="H9" s="19">
        <f t="shared" si="2"/>
        <v>-1.5</v>
      </c>
    </row>
    <row r="10" spans="4:13" x14ac:dyDescent="0.3">
      <c r="D10" s="19">
        <v>18</v>
      </c>
      <c r="E10" s="19">
        <f t="shared" si="0"/>
        <v>17.5</v>
      </c>
      <c r="F10" s="19">
        <v>-20</v>
      </c>
      <c r="G10" s="19">
        <f t="shared" si="1"/>
        <v>-2.5</v>
      </c>
      <c r="H10" s="19">
        <f t="shared" si="2"/>
        <v>-0.5</v>
      </c>
    </row>
    <row r="11" spans="4:13" x14ac:dyDescent="0.3">
      <c r="D11" s="19">
        <v>18</v>
      </c>
      <c r="E11" s="19">
        <f t="shared" si="0"/>
        <v>17.5</v>
      </c>
      <c r="F11" s="19">
        <v>-19</v>
      </c>
      <c r="G11" s="19">
        <f t="shared" si="1"/>
        <v>-1.5</v>
      </c>
      <c r="H11" s="19">
        <f t="shared" si="2"/>
        <v>0.5</v>
      </c>
    </row>
    <row r="12" spans="4:13" x14ac:dyDescent="0.3">
      <c r="D12" s="19">
        <v>18</v>
      </c>
      <c r="E12" s="19">
        <f t="shared" si="0"/>
        <v>17.5</v>
      </c>
      <c r="F12" s="19">
        <v>-18</v>
      </c>
      <c r="G12" s="19">
        <f t="shared" si="1"/>
        <v>-0.5</v>
      </c>
      <c r="H12" s="19">
        <f t="shared" si="2"/>
        <v>1.5</v>
      </c>
    </row>
    <row r="13" spans="4:13" x14ac:dyDescent="0.3">
      <c r="D13" s="20">
        <v>18</v>
      </c>
      <c r="E13" s="20">
        <f t="shared" si="0"/>
        <v>17.5</v>
      </c>
      <c r="F13" s="20">
        <v>-17</v>
      </c>
      <c r="G13" s="20">
        <f t="shared" si="1"/>
        <v>0.5</v>
      </c>
      <c r="H13" s="20">
        <f t="shared" si="2"/>
        <v>2.5</v>
      </c>
    </row>
    <row r="14" spans="4:13" x14ac:dyDescent="0.3">
      <c r="D14" s="20">
        <v>18</v>
      </c>
      <c r="E14" s="20">
        <f t="shared" si="0"/>
        <v>17.5</v>
      </c>
      <c r="F14" s="20">
        <v>-16</v>
      </c>
      <c r="G14" s="20">
        <f t="shared" si="1"/>
        <v>1.5</v>
      </c>
      <c r="H14" s="20">
        <f t="shared" si="2"/>
        <v>3.5</v>
      </c>
      <c r="J14" t="s">
        <v>231</v>
      </c>
    </row>
    <row r="15" spans="4:13" x14ac:dyDescent="0.3">
      <c r="D15" s="20">
        <v>18</v>
      </c>
      <c r="E15" s="20">
        <f t="shared" si="0"/>
        <v>17.5</v>
      </c>
      <c r="F15" s="20">
        <v>-15</v>
      </c>
      <c r="G15" s="20">
        <f t="shared" si="1"/>
        <v>2.5</v>
      </c>
      <c r="H15" s="20">
        <f t="shared" si="2"/>
        <v>4.5</v>
      </c>
    </row>
    <row r="16" spans="4:13" x14ac:dyDescent="0.3">
      <c r="D16" s="20">
        <v>18</v>
      </c>
      <c r="E16" s="20">
        <f t="shared" si="0"/>
        <v>17.5</v>
      </c>
      <c r="F16" s="20">
        <v>-14</v>
      </c>
      <c r="G16" s="20">
        <f t="shared" si="1"/>
        <v>3.5</v>
      </c>
      <c r="H16" s="20">
        <f t="shared" si="2"/>
        <v>5.5</v>
      </c>
      <c r="J16" t="s">
        <v>232</v>
      </c>
      <c r="M16" t="s">
        <v>81</v>
      </c>
    </row>
    <row r="17" spans="4:13" x14ac:dyDescent="0.3">
      <c r="D17" s="20">
        <v>18</v>
      </c>
      <c r="E17" s="20">
        <f t="shared" si="0"/>
        <v>17.5</v>
      </c>
      <c r="F17" s="20">
        <v>-13</v>
      </c>
      <c r="G17" s="20">
        <f t="shared" si="1"/>
        <v>4.5</v>
      </c>
      <c r="H17" s="20">
        <f t="shared" si="2"/>
        <v>6.5</v>
      </c>
    </row>
    <row r="18" spans="4:13" x14ac:dyDescent="0.3">
      <c r="D18" s="20">
        <v>18</v>
      </c>
      <c r="E18" s="20">
        <f t="shared" si="0"/>
        <v>17.5</v>
      </c>
      <c r="F18" s="20">
        <v>-12</v>
      </c>
      <c r="G18" s="20">
        <f t="shared" si="1"/>
        <v>5.5</v>
      </c>
      <c r="H18" s="20">
        <f t="shared" si="2"/>
        <v>7.5</v>
      </c>
      <c r="J18" t="s">
        <v>233</v>
      </c>
      <c r="M18" t="s">
        <v>81</v>
      </c>
    </row>
    <row r="19" spans="4:13" x14ac:dyDescent="0.3">
      <c r="D19" s="20">
        <v>18</v>
      </c>
      <c r="E19" s="20">
        <f t="shared" si="0"/>
        <v>17.5</v>
      </c>
      <c r="F19" s="20">
        <v>-11</v>
      </c>
      <c r="G19" s="20">
        <f t="shared" si="1"/>
        <v>6.5</v>
      </c>
      <c r="H19" s="20">
        <f t="shared" si="2"/>
        <v>8.5</v>
      </c>
    </row>
    <row r="20" spans="4:13" x14ac:dyDescent="0.3">
      <c r="D20" s="20">
        <v>18</v>
      </c>
      <c r="E20" s="20">
        <f t="shared" si="0"/>
        <v>17.5</v>
      </c>
      <c r="F20" s="20">
        <v>-10</v>
      </c>
      <c r="G20" s="20">
        <f t="shared" si="1"/>
        <v>7.5</v>
      </c>
      <c r="H20" s="20">
        <f t="shared" si="2"/>
        <v>9.5</v>
      </c>
    </row>
    <row r="21" spans="4:13" x14ac:dyDescent="0.3">
      <c r="D21" s="20">
        <v>18</v>
      </c>
      <c r="E21" s="20">
        <f t="shared" si="0"/>
        <v>17.5</v>
      </c>
      <c r="F21" s="20">
        <v>-9</v>
      </c>
      <c r="G21" s="20">
        <f t="shared" si="1"/>
        <v>8.5</v>
      </c>
      <c r="H21" s="20">
        <f t="shared" si="2"/>
        <v>10.5</v>
      </c>
    </row>
    <row r="22" spans="4:13" x14ac:dyDescent="0.3">
      <c r="D22" s="20">
        <v>18</v>
      </c>
      <c r="E22" s="20">
        <f t="shared" si="0"/>
        <v>17.5</v>
      </c>
      <c r="F22" s="20">
        <v>-8</v>
      </c>
      <c r="G22" s="20">
        <f t="shared" si="1"/>
        <v>9.5</v>
      </c>
      <c r="H22" s="20">
        <f t="shared" si="2"/>
        <v>11.5</v>
      </c>
    </row>
    <row r="23" spans="4:13" x14ac:dyDescent="0.3">
      <c r="D23" s="20">
        <v>18</v>
      </c>
      <c r="E23" s="20">
        <f t="shared" si="0"/>
        <v>17.5</v>
      </c>
      <c r="F23" s="20">
        <v>-7</v>
      </c>
      <c r="G23" s="20">
        <f t="shared" si="1"/>
        <v>10.5</v>
      </c>
      <c r="H23" s="20">
        <f t="shared" si="2"/>
        <v>12.5</v>
      </c>
    </row>
    <row r="24" spans="4:13" x14ac:dyDescent="0.3">
      <c r="D24" s="20">
        <v>18</v>
      </c>
      <c r="E24" s="20">
        <f t="shared" si="0"/>
        <v>17.5</v>
      </c>
      <c r="F24" s="20">
        <v>-6</v>
      </c>
      <c r="G24" s="20">
        <f t="shared" si="1"/>
        <v>11.5</v>
      </c>
      <c r="H24" s="20">
        <f t="shared" si="2"/>
        <v>13.5</v>
      </c>
    </row>
    <row r="25" spans="4:13" x14ac:dyDescent="0.3">
      <c r="D25" s="22">
        <v>18</v>
      </c>
      <c r="E25" s="22">
        <f t="shared" si="0"/>
        <v>17.5</v>
      </c>
      <c r="F25" s="22">
        <v>-5</v>
      </c>
      <c r="G25" s="22">
        <f t="shared" si="1"/>
        <v>12.5</v>
      </c>
      <c r="H25" s="22">
        <f t="shared" si="2"/>
        <v>14.5</v>
      </c>
    </row>
    <row r="26" spans="4:13" x14ac:dyDescent="0.3">
      <c r="D26" s="22">
        <v>18</v>
      </c>
      <c r="E26" s="22">
        <f t="shared" si="0"/>
        <v>17.5</v>
      </c>
      <c r="F26" s="22">
        <v>-4</v>
      </c>
      <c r="G26" s="22">
        <f t="shared" si="1"/>
        <v>13.5</v>
      </c>
      <c r="H26" s="22">
        <f t="shared" si="2"/>
        <v>15.5</v>
      </c>
    </row>
    <row r="27" spans="4:13" x14ac:dyDescent="0.3">
      <c r="D27" s="22">
        <v>18</v>
      </c>
      <c r="E27" s="22">
        <f t="shared" si="0"/>
        <v>17.5</v>
      </c>
      <c r="F27" s="22">
        <v>-3</v>
      </c>
      <c r="G27" s="22">
        <f t="shared" si="1"/>
        <v>14.5</v>
      </c>
      <c r="H27" s="22">
        <f t="shared" si="2"/>
        <v>16.5</v>
      </c>
    </row>
    <row r="28" spans="4:13" x14ac:dyDescent="0.3">
      <c r="D28" s="22">
        <v>18</v>
      </c>
      <c r="E28" s="22">
        <f t="shared" si="0"/>
        <v>17.5</v>
      </c>
      <c r="F28" s="22">
        <v>-2</v>
      </c>
      <c r="G28" s="22">
        <f t="shared" si="1"/>
        <v>15.5</v>
      </c>
      <c r="H28" s="22">
        <f t="shared" si="2"/>
        <v>17.5</v>
      </c>
    </row>
    <row r="29" spans="4:13" x14ac:dyDescent="0.3">
      <c r="D29" s="22">
        <v>18</v>
      </c>
      <c r="E29" s="22">
        <f>D29-0.5</f>
        <v>17.5</v>
      </c>
      <c r="F29" s="22">
        <v>-1</v>
      </c>
      <c r="G29" s="22">
        <f t="shared" si="1"/>
        <v>16.5</v>
      </c>
      <c r="H29" s="22">
        <f>G29+2</f>
        <v>18.5</v>
      </c>
    </row>
    <row r="30" spans="4:13" x14ac:dyDescent="0.3">
      <c r="D30" s="21">
        <v>18</v>
      </c>
      <c r="E30" s="21">
        <f>D30-0.5</f>
        <v>17.5</v>
      </c>
      <c r="F30" s="21">
        <v>0</v>
      </c>
      <c r="G30" s="21">
        <f t="shared" si="1"/>
        <v>17.5</v>
      </c>
      <c r="H30" s="21">
        <f t="shared" ref="H30:H55" si="3">G30+2</f>
        <v>19.5</v>
      </c>
    </row>
    <row r="31" spans="4:13" x14ac:dyDescent="0.3">
      <c r="D31" s="21">
        <v>18</v>
      </c>
      <c r="E31" s="21">
        <f t="shared" ref="E31:E55" si="4">D31-0.5</f>
        <v>17.5</v>
      </c>
      <c r="F31" s="21">
        <v>1</v>
      </c>
      <c r="G31" s="21">
        <f t="shared" si="1"/>
        <v>18.5</v>
      </c>
      <c r="H31" s="21">
        <f t="shared" si="3"/>
        <v>20.5</v>
      </c>
    </row>
    <row r="32" spans="4:13" x14ac:dyDescent="0.3">
      <c r="D32" s="21">
        <v>18</v>
      </c>
      <c r="E32" s="21">
        <f t="shared" si="4"/>
        <v>17.5</v>
      </c>
      <c r="F32" s="21">
        <v>2</v>
      </c>
      <c r="G32" s="21">
        <f t="shared" si="1"/>
        <v>19.5</v>
      </c>
      <c r="H32" s="21">
        <f t="shared" si="3"/>
        <v>21.5</v>
      </c>
    </row>
    <row r="33" spans="4:8" x14ac:dyDescent="0.3">
      <c r="D33" s="21">
        <v>18</v>
      </c>
      <c r="E33" s="21">
        <f t="shared" si="4"/>
        <v>17.5</v>
      </c>
      <c r="F33" s="21">
        <v>3</v>
      </c>
      <c r="G33" s="21">
        <f t="shared" si="1"/>
        <v>20.5</v>
      </c>
      <c r="H33" s="21">
        <f t="shared" si="3"/>
        <v>22.5</v>
      </c>
    </row>
    <row r="34" spans="4:8" x14ac:dyDescent="0.3">
      <c r="D34" s="21">
        <v>18</v>
      </c>
      <c r="E34" s="21">
        <f t="shared" si="4"/>
        <v>17.5</v>
      </c>
      <c r="F34" s="21">
        <v>4</v>
      </c>
      <c r="G34" s="21">
        <f t="shared" si="1"/>
        <v>21.5</v>
      </c>
      <c r="H34" s="21">
        <f t="shared" si="3"/>
        <v>23.5</v>
      </c>
    </row>
    <row r="35" spans="4:8" x14ac:dyDescent="0.3">
      <c r="D35" s="21">
        <v>18</v>
      </c>
      <c r="E35" s="21">
        <f t="shared" si="4"/>
        <v>17.5</v>
      </c>
      <c r="F35" s="21">
        <v>5</v>
      </c>
      <c r="G35" s="21">
        <f t="shared" si="1"/>
        <v>22.5</v>
      </c>
      <c r="H35" s="21">
        <f t="shared" si="3"/>
        <v>24.5</v>
      </c>
    </row>
    <row r="36" spans="4:8" x14ac:dyDescent="0.3">
      <c r="D36" s="21">
        <v>18</v>
      </c>
      <c r="E36" s="21">
        <f t="shared" si="4"/>
        <v>17.5</v>
      </c>
      <c r="F36" s="21">
        <v>6</v>
      </c>
      <c r="G36" s="21">
        <f t="shared" si="1"/>
        <v>23.5</v>
      </c>
      <c r="H36" s="21">
        <f t="shared" si="3"/>
        <v>25.5</v>
      </c>
    </row>
    <row r="37" spans="4:8" x14ac:dyDescent="0.3">
      <c r="D37" s="21">
        <v>18</v>
      </c>
      <c r="E37" s="21">
        <f t="shared" si="4"/>
        <v>17.5</v>
      </c>
      <c r="F37" s="21">
        <v>7</v>
      </c>
      <c r="G37" s="21">
        <f t="shared" si="1"/>
        <v>24.5</v>
      </c>
      <c r="H37" s="21">
        <f t="shared" si="3"/>
        <v>26.5</v>
      </c>
    </row>
    <row r="38" spans="4:8" x14ac:dyDescent="0.3">
      <c r="D38" s="22">
        <v>18</v>
      </c>
      <c r="E38" s="22">
        <f t="shared" si="4"/>
        <v>17.5</v>
      </c>
      <c r="F38" s="22">
        <v>8</v>
      </c>
      <c r="G38" s="22">
        <f t="shared" si="1"/>
        <v>25.5</v>
      </c>
      <c r="H38" s="22">
        <f t="shared" si="3"/>
        <v>27.5</v>
      </c>
    </row>
    <row r="39" spans="4:8" x14ac:dyDescent="0.3">
      <c r="D39" s="22">
        <v>18</v>
      </c>
      <c r="E39" s="22">
        <f t="shared" si="4"/>
        <v>17.5</v>
      </c>
      <c r="F39" s="22">
        <v>9</v>
      </c>
      <c r="G39" s="22">
        <f t="shared" si="1"/>
        <v>26.5</v>
      </c>
      <c r="H39" s="22">
        <f t="shared" si="3"/>
        <v>28.5</v>
      </c>
    </row>
    <row r="40" spans="4:8" x14ac:dyDescent="0.3">
      <c r="D40" s="22">
        <v>18</v>
      </c>
      <c r="E40" s="22">
        <f t="shared" si="4"/>
        <v>17.5</v>
      </c>
      <c r="F40" s="22">
        <v>10</v>
      </c>
      <c r="G40" s="22">
        <f t="shared" si="1"/>
        <v>27.5</v>
      </c>
      <c r="H40" s="22">
        <f t="shared" si="3"/>
        <v>29.5</v>
      </c>
    </row>
    <row r="41" spans="4:8" x14ac:dyDescent="0.3">
      <c r="D41" s="22">
        <v>18</v>
      </c>
      <c r="E41" s="22">
        <f t="shared" si="4"/>
        <v>17.5</v>
      </c>
      <c r="F41" s="22">
        <v>11</v>
      </c>
      <c r="G41" s="22">
        <f t="shared" si="1"/>
        <v>28.5</v>
      </c>
      <c r="H41" s="22">
        <f t="shared" si="3"/>
        <v>30.5</v>
      </c>
    </row>
    <row r="42" spans="4:8" x14ac:dyDescent="0.3">
      <c r="D42" s="22">
        <v>18</v>
      </c>
      <c r="E42" s="22">
        <f t="shared" si="4"/>
        <v>17.5</v>
      </c>
      <c r="F42" s="22">
        <v>12</v>
      </c>
      <c r="G42" s="22">
        <f t="shared" si="1"/>
        <v>29.5</v>
      </c>
      <c r="H42" s="22">
        <f t="shared" si="3"/>
        <v>31.5</v>
      </c>
    </row>
    <row r="43" spans="4:8" x14ac:dyDescent="0.3">
      <c r="D43" s="20">
        <v>18</v>
      </c>
      <c r="E43" s="20">
        <f t="shared" si="4"/>
        <v>17.5</v>
      </c>
      <c r="F43" s="20">
        <v>13</v>
      </c>
      <c r="G43" s="20">
        <f t="shared" si="1"/>
        <v>30.5</v>
      </c>
      <c r="H43" s="20">
        <f t="shared" si="3"/>
        <v>32.5</v>
      </c>
    </row>
    <row r="44" spans="4:8" x14ac:dyDescent="0.3">
      <c r="D44" s="20">
        <v>18</v>
      </c>
      <c r="E44" s="20">
        <f t="shared" si="4"/>
        <v>17.5</v>
      </c>
      <c r="F44" s="20">
        <v>14</v>
      </c>
      <c r="G44" s="20">
        <f t="shared" si="1"/>
        <v>31.5</v>
      </c>
      <c r="H44" s="20">
        <f t="shared" si="3"/>
        <v>33.5</v>
      </c>
    </row>
    <row r="45" spans="4:8" x14ac:dyDescent="0.3">
      <c r="D45" s="20">
        <v>18</v>
      </c>
      <c r="E45" s="20">
        <f t="shared" si="4"/>
        <v>17.5</v>
      </c>
      <c r="F45" s="20">
        <v>15</v>
      </c>
      <c r="G45" s="20">
        <f t="shared" si="1"/>
        <v>32.5</v>
      </c>
      <c r="H45" s="20">
        <f t="shared" si="3"/>
        <v>34.5</v>
      </c>
    </row>
    <row r="46" spans="4:8" x14ac:dyDescent="0.3">
      <c r="D46" s="20">
        <v>18</v>
      </c>
      <c r="E46" s="20">
        <f t="shared" si="4"/>
        <v>17.5</v>
      </c>
      <c r="F46" s="20">
        <v>16</v>
      </c>
      <c r="G46" s="20">
        <f t="shared" si="1"/>
        <v>33.5</v>
      </c>
      <c r="H46" s="20">
        <f t="shared" si="3"/>
        <v>35.5</v>
      </c>
    </row>
    <row r="47" spans="4:8" x14ac:dyDescent="0.3">
      <c r="D47" s="20">
        <v>18</v>
      </c>
      <c r="E47" s="20">
        <f t="shared" si="4"/>
        <v>17.5</v>
      </c>
      <c r="F47" s="20">
        <v>17</v>
      </c>
      <c r="G47" s="20">
        <f t="shared" si="1"/>
        <v>34.5</v>
      </c>
      <c r="H47" s="20">
        <f t="shared" si="3"/>
        <v>36.5</v>
      </c>
    </row>
    <row r="48" spans="4:8" x14ac:dyDescent="0.3">
      <c r="D48" s="20">
        <v>18</v>
      </c>
      <c r="E48" s="20">
        <f t="shared" si="4"/>
        <v>17.5</v>
      </c>
      <c r="F48" s="20">
        <v>18</v>
      </c>
      <c r="G48" s="20">
        <f t="shared" si="1"/>
        <v>35.5</v>
      </c>
      <c r="H48" s="20">
        <f t="shared" si="3"/>
        <v>37.5</v>
      </c>
    </row>
    <row r="49" spans="4:8" x14ac:dyDescent="0.3">
      <c r="D49" s="20">
        <v>18</v>
      </c>
      <c r="E49" s="20">
        <f t="shared" si="4"/>
        <v>17.5</v>
      </c>
      <c r="F49" s="20">
        <v>19</v>
      </c>
      <c r="G49" s="20">
        <f t="shared" si="1"/>
        <v>36.5</v>
      </c>
      <c r="H49" s="20">
        <f t="shared" si="3"/>
        <v>38.5</v>
      </c>
    </row>
    <row r="50" spans="4:8" x14ac:dyDescent="0.3">
      <c r="D50" s="20">
        <v>18</v>
      </c>
      <c r="E50" s="20">
        <f t="shared" si="4"/>
        <v>17.5</v>
      </c>
      <c r="F50" s="20">
        <v>20</v>
      </c>
      <c r="G50" s="20">
        <f t="shared" si="1"/>
        <v>37.5</v>
      </c>
      <c r="H50" s="20">
        <f t="shared" si="3"/>
        <v>39.5</v>
      </c>
    </row>
    <row r="51" spans="4:8" x14ac:dyDescent="0.3">
      <c r="D51" s="20">
        <v>18</v>
      </c>
      <c r="E51" s="20">
        <f t="shared" si="4"/>
        <v>17.5</v>
      </c>
      <c r="F51" s="20">
        <v>21</v>
      </c>
      <c r="G51" s="20">
        <f t="shared" si="1"/>
        <v>38.5</v>
      </c>
      <c r="H51" s="20">
        <f t="shared" si="3"/>
        <v>40.5</v>
      </c>
    </row>
    <row r="52" spans="4:8" x14ac:dyDescent="0.3">
      <c r="D52" s="20">
        <v>18</v>
      </c>
      <c r="E52" s="20">
        <f t="shared" si="4"/>
        <v>17.5</v>
      </c>
      <c r="F52" s="20">
        <v>22</v>
      </c>
      <c r="G52" s="20">
        <f t="shared" si="1"/>
        <v>39.5</v>
      </c>
      <c r="H52" s="20">
        <f t="shared" si="3"/>
        <v>41.5</v>
      </c>
    </row>
    <row r="53" spans="4:8" x14ac:dyDescent="0.3">
      <c r="D53" s="19">
        <v>18</v>
      </c>
      <c r="E53" s="19">
        <f t="shared" si="4"/>
        <v>17.5</v>
      </c>
      <c r="F53" s="19">
        <v>23</v>
      </c>
      <c r="G53" s="19">
        <f t="shared" si="1"/>
        <v>40.5</v>
      </c>
      <c r="H53" s="19">
        <f t="shared" si="3"/>
        <v>42.5</v>
      </c>
    </row>
    <row r="54" spans="4:8" x14ac:dyDescent="0.3">
      <c r="D54" s="19">
        <v>18</v>
      </c>
      <c r="E54" s="19">
        <f t="shared" si="4"/>
        <v>17.5</v>
      </c>
      <c r="F54" s="19">
        <v>24</v>
      </c>
      <c r="G54" s="19">
        <f t="shared" si="1"/>
        <v>41.5</v>
      </c>
      <c r="H54" s="19">
        <f t="shared" si="3"/>
        <v>43.5</v>
      </c>
    </row>
    <row r="55" spans="4:8" x14ac:dyDescent="0.3">
      <c r="D55" s="19">
        <v>18</v>
      </c>
      <c r="E55" s="19">
        <f t="shared" si="4"/>
        <v>17.5</v>
      </c>
      <c r="F55" s="19">
        <v>25</v>
      </c>
      <c r="G55" s="19">
        <f t="shared" si="1"/>
        <v>42.5</v>
      </c>
      <c r="H55" s="19">
        <f t="shared" si="3"/>
        <v>44.5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8D30D-6FB0-4ED6-812D-8A9158888997}">
  <dimension ref="C6:K47"/>
  <sheetViews>
    <sheetView tabSelected="1" topLeftCell="A13" zoomScale="85" zoomScaleNormal="85" workbookViewId="0">
      <selection activeCell="C6" sqref="C6:E47"/>
    </sheetView>
  </sheetViews>
  <sheetFormatPr defaultRowHeight="14.4" x14ac:dyDescent="0.3"/>
  <cols>
    <col min="3" max="5" width="10.77734375" customWidth="1"/>
  </cols>
  <sheetData>
    <row r="6" spans="3:5" x14ac:dyDescent="0.3">
      <c r="C6" t="s">
        <v>51</v>
      </c>
      <c r="D6" t="s">
        <v>83</v>
      </c>
      <c r="E6" t="s">
        <v>84</v>
      </c>
    </row>
    <row r="7" spans="3:5" x14ac:dyDescent="0.3">
      <c r="C7" s="24">
        <v>18</v>
      </c>
      <c r="D7">
        <f t="shared" ref="D7:D47" si="0">E7-C7</f>
        <v>-10</v>
      </c>
      <c r="E7" s="24">
        <v>8</v>
      </c>
    </row>
    <row r="8" spans="3:5" x14ac:dyDescent="0.3">
      <c r="C8" s="24">
        <v>18</v>
      </c>
      <c r="D8">
        <f t="shared" si="0"/>
        <v>-9</v>
      </c>
      <c r="E8" s="24">
        <v>9</v>
      </c>
    </row>
    <row r="9" spans="3:5" x14ac:dyDescent="0.3">
      <c r="C9" s="24">
        <v>18</v>
      </c>
      <c r="D9">
        <f t="shared" si="0"/>
        <v>-8</v>
      </c>
      <c r="E9" s="24">
        <v>10</v>
      </c>
    </row>
    <row r="10" spans="3:5" x14ac:dyDescent="0.3">
      <c r="C10" s="24">
        <v>18</v>
      </c>
      <c r="D10">
        <f t="shared" si="0"/>
        <v>-7</v>
      </c>
      <c r="E10" s="24">
        <v>11</v>
      </c>
    </row>
    <row r="11" spans="3:5" x14ac:dyDescent="0.3">
      <c r="C11" s="24">
        <v>18</v>
      </c>
      <c r="D11">
        <f t="shared" si="0"/>
        <v>-6</v>
      </c>
      <c r="E11" s="24">
        <v>12</v>
      </c>
    </row>
    <row r="12" spans="3:5" x14ac:dyDescent="0.3">
      <c r="C12" s="24">
        <v>18</v>
      </c>
      <c r="D12">
        <f t="shared" si="0"/>
        <v>-5</v>
      </c>
      <c r="E12" s="24">
        <v>13</v>
      </c>
    </row>
    <row r="13" spans="3:5" x14ac:dyDescent="0.3">
      <c r="C13" s="24">
        <v>18</v>
      </c>
      <c r="D13">
        <f t="shared" si="0"/>
        <v>-4</v>
      </c>
      <c r="E13" s="24">
        <v>14</v>
      </c>
    </row>
    <row r="14" spans="3:5" x14ac:dyDescent="0.3">
      <c r="C14" s="20">
        <v>18</v>
      </c>
      <c r="D14">
        <f t="shared" si="0"/>
        <v>-3</v>
      </c>
      <c r="E14" s="20">
        <v>15</v>
      </c>
    </row>
    <row r="15" spans="3:5" x14ac:dyDescent="0.3">
      <c r="C15" s="20">
        <v>18</v>
      </c>
      <c r="D15">
        <f t="shared" si="0"/>
        <v>-2</v>
      </c>
      <c r="E15" s="20">
        <v>16</v>
      </c>
    </row>
    <row r="16" spans="3:5" x14ac:dyDescent="0.3">
      <c r="C16" s="22">
        <v>18</v>
      </c>
      <c r="D16">
        <f t="shared" si="0"/>
        <v>-1</v>
      </c>
      <c r="E16" s="22">
        <v>17</v>
      </c>
    </row>
    <row r="17" spans="3:11" x14ac:dyDescent="0.3">
      <c r="C17" s="22">
        <v>18</v>
      </c>
      <c r="D17">
        <f t="shared" si="0"/>
        <v>0</v>
      </c>
      <c r="E17" s="22">
        <v>18</v>
      </c>
    </row>
    <row r="18" spans="3:11" x14ac:dyDescent="0.3">
      <c r="C18" s="22">
        <v>18</v>
      </c>
      <c r="D18">
        <f t="shared" si="0"/>
        <v>1</v>
      </c>
      <c r="E18" s="22">
        <v>19</v>
      </c>
    </row>
    <row r="19" spans="3:11" x14ac:dyDescent="0.3">
      <c r="C19" s="22">
        <v>18</v>
      </c>
      <c r="D19">
        <f t="shared" si="0"/>
        <v>2</v>
      </c>
      <c r="E19" s="22">
        <v>20</v>
      </c>
      <c r="H19" t="s">
        <v>107</v>
      </c>
    </row>
    <row r="20" spans="3:11" x14ac:dyDescent="0.3">
      <c r="C20" s="21">
        <v>18</v>
      </c>
      <c r="D20">
        <f t="shared" si="0"/>
        <v>3</v>
      </c>
      <c r="E20" s="21">
        <v>21</v>
      </c>
    </row>
    <row r="21" spans="3:11" x14ac:dyDescent="0.3">
      <c r="C21" s="21">
        <v>18</v>
      </c>
      <c r="D21">
        <f t="shared" si="0"/>
        <v>4</v>
      </c>
      <c r="E21" s="21">
        <v>22</v>
      </c>
      <c r="H21" t="s">
        <v>108</v>
      </c>
      <c r="K21" t="s">
        <v>81</v>
      </c>
    </row>
    <row r="22" spans="3:11" x14ac:dyDescent="0.3">
      <c r="C22" s="21">
        <v>18</v>
      </c>
      <c r="D22">
        <f t="shared" si="0"/>
        <v>5</v>
      </c>
      <c r="E22" s="21">
        <v>23</v>
      </c>
    </row>
    <row r="23" spans="3:11" x14ac:dyDescent="0.3">
      <c r="C23" s="21">
        <v>18</v>
      </c>
      <c r="D23">
        <f t="shared" si="0"/>
        <v>6</v>
      </c>
      <c r="E23" s="21">
        <v>24</v>
      </c>
    </row>
    <row r="24" spans="3:11" x14ac:dyDescent="0.3">
      <c r="C24" s="21">
        <v>18</v>
      </c>
      <c r="D24">
        <f t="shared" si="0"/>
        <v>7</v>
      </c>
      <c r="E24" s="21">
        <v>25</v>
      </c>
    </row>
    <row r="25" spans="3:11" x14ac:dyDescent="0.3">
      <c r="C25" s="21">
        <v>18</v>
      </c>
      <c r="D25">
        <f t="shared" si="0"/>
        <v>8</v>
      </c>
      <c r="E25" s="21">
        <v>26</v>
      </c>
    </row>
    <row r="26" spans="3:11" x14ac:dyDescent="0.3">
      <c r="C26" s="21">
        <v>18</v>
      </c>
      <c r="D26">
        <f t="shared" si="0"/>
        <v>9</v>
      </c>
      <c r="E26" s="21">
        <v>27</v>
      </c>
    </row>
    <row r="27" spans="3:11" x14ac:dyDescent="0.3">
      <c r="C27" s="21">
        <v>18</v>
      </c>
      <c r="D27">
        <f t="shared" si="0"/>
        <v>10</v>
      </c>
      <c r="E27" s="21">
        <v>28</v>
      </c>
    </row>
    <row r="28" spans="3:11" x14ac:dyDescent="0.3">
      <c r="C28" s="21">
        <v>18</v>
      </c>
      <c r="D28">
        <f t="shared" si="0"/>
        <v>11</v>
      </c>
      <c r="E28" s="21">
        <v>29</v>
      </c>
    </row>
    <row r="29" spans="3:11" x14ac:dyDescent="0.3">
      <c r="C29" s="21">
        <v>18</v>
      </c>
      <c r="D29">
        <f t="shared" si="0"/>
        <v>12</v>
      </c>
      <c r="E29" s="21">
        <v>30</v>
      </c>
    </row>
    <row r="30" spans="3:11" x14ac:dyDescent="0.3">
      <c r="C30" s="22">
        <v>18</v>
      </c>
      <c r="D30">
        <f t="shared" si="0"/>
        <v>13</v>
      </c>
      <c r="E30" s="22">
        <v>31</v>
      </c>
    </row>
    <row r="31" spans="3:11" x14ac:dyDescent="0.3">
      <c r="C31" s="22">
        <v>18</v>
      </c>
      <c r="D31">
        <f t="shared" si="0"/>
        <v>14</v>
      </c>
      <c r="E31" s="22">
        <v>32</v>
      </c>
    </row>
    <row r="32" spans="3:11" x14ac:dyDescent="0.3">
      <c r="C32" s="22">
        <v>18</v>
      </c>
      <c r="D32">
        <f t="shared" si="0"/>
        <v>15</v>
      </c>
      <c r="E32" s="22">
        <v>33</v>
      </c>
    </row>
    <row r="33" spans="3:5" x14ac:dyDescent="0.3">
      <c r="C33" s="22">
        <v>18</v>
      </c>
      <c r="D33">
        <f t="shared" si="0"/>
        <v>16</v>
      </c>
      <c r="E33" s="22">
        <v>34</v>
      </c>
    </row>
    <row r="34" spans="3:5" x14ac:dyDescent="0.3">
      <c r="C34" s="36">
        <v>18</v>
      </c>
      <c r="D34" s="36">
        <f t="shared" si="0"/>
        <v>17</v>
      </c>
      <c r="E34" s="36">
        <v>35</v>
      </c>
    </row>
    <row r="35" spans="3:5" x14ac:dyDescent="0.3">
      <c r="C35" s="20">
        <v>18</v>
      </c>
      <c r="D35">
        <f t="shared" si="0"/>
        <v>18</v>
      </c>
      <c r="E35" s="20">
        <v>36</v>
      </c>
    </row>
    <row r="36" spans="3:5" x14ac:dyDescent="0.3">
      <c r="C36" s="20">
        <v>18</v>
      </c>
      <c r="D36">
        <f t="shared" si="0"/>
        <v>19</v>
      </c>
      <c r="E36" s="20">
        <v>37</v>
      </c>
    </row>
    <row r="37" spans="3:5" x14ac:dyDescent="0.3">
      <c r="C37" s="20">
        <v>18</v>
      </c>
      <c r="D37">
        <f t="shared" si="0"/>
        <v>20</v>
      </c>
      <c r="E37" s="20">
        <v>38</v>
      </c>
    </row>
    <row r="38" spans="3:5" x14ac:dyDescent="0.3">
      <c r="C38" s="20">
        <v>18</v>
      </c>
      <c r="D38">
        <f t="shared" si="0"/>
        <v>21</v>
      </c>
      <c r="E38" s="20">
        <v>39</v>
      </c>
    </row>
    <row r="39" spans="3:5" x14ac:dyDescent="0.3">
      <c r="C39" s="20">
        <v>18</v>
      </c>
      <c r="D39">
        <f t="shared" si="0"/>
        <v>22</v>
      </c>
      <c r="E39" s="20">
        <v>40</v>
      </c>
    </row>
    <row r="40" spans="3:5" x14ac:dyDescent="0.3">
      <c r="C40" s="20">
        <v>18</v>
      </c>
      <c r="D40">
        <f t="shared" si="0"/>
        <v>23</v>
      </c>
      <c r="E40" s="20">
        <v>41</v>
      </c>
    </row>
    <row r="41" spans="3:5" x14ac:dyDescent="0.3">
      <c r="C41" s="20">
        <v>18</v>
      </c>
      <c r="D41">
        <f t="shared" si="0"/>
        <v>24</v>
      </c>
      <c r="E41" s="20">
        <v>42</v>
      </c>
    </row>
    <row r="42" spans="3:5" x14ac:dyDescent="0.3">
      <c r="C42" s="20">
        <v>18</v>
      </c>
      <c r="D42">
        <f t="shared" si="0"/>
        <v>25</v>
      </c>
      <c r="E42" s="20">
        <v>43</v>
      </c>
    </row>
    <row r="43" spans="3:5" x14ac:dyDescent="0.3">
      <c r="C43" s="23">
        <v>18</v>
      </c>
      <c r="D43">
        <f t="shared" si="0"/>
        <v>26</v>
      </c>
      <c r="E43" s="23">
        <v>44</v>
      </c>
    </row>
    <row r="44" spans="3:5" x14ac:dyDescent="0.3">
      <c r="C44" s="23">
        <v>18</v>
      </c>
      <c r="D44">
        <f t="shared" si="0"/>
        <v>27</v>
      </c>
      <c r="E44" s="23">
        <v>45</v>
      </c>
    </row>
    <row r="45" spans="3:5" x14ac:dyDescent="0.3">
      <c r="C45" s="23">
        <v>18</v>
      </c>
      <c r="D45">
        <f t="shared" si="0"/>
        <v>28</v>
      </c>
      <c r="E45" s="23">
        <v>46</v>
      </c>
    </row>
    <row r="46" spans="3:5" x14ac:dyDescent="0.3">
      <c r="C46" s="23">
        <v>18</v>
      </c>
      <c r="D46">
        <f t="shared" si="0"/>
        <v>29</v>
      </c>
      <c r="E46" s="23">
        <v>47</v>
      </c>
    </row>
    <row r="47" spans="3:5" x14ac:dyDescent="0.3">
      <c r="C47" s="23">
        <v>18</v>
      </c>
      <c r="D47">
        <f t="shared" si="0"/>
        <v>30</v>
      </c>
      <c r="E47" s="23">
        <v>48</v>
      </c>
    </row>
  </sheetData>
  <conditionalFormatting sqref="D7:D47">
    <cfRule type="cellIs" dxfId="8" priority="19" operator="lessThan">
      <formula>-2</formula>
    </cfRule>
  </conditionalFormatting>
  <conditionalFormatting sqref="D14">
    <cfRule type="cellIs" dxfId="7" priority="11" operator="lessThan">
      <formula>0</formula>
    </cfRule>
  </conditionalFormatting>
  <conditionalFormatting sqref="D15">
    <cfRule type="cellIs" dxfId="6" priority="7" operator="lessThan">
      <formula>$D$16</formula>
    </cfRule>
  </conditionalFormatting>
  <conditionalFormatting sqref="D16:D19">
    <cfRule type="cellIs" dxfId="5" priority="6" operator="lessThan">
      <formula>$D$20</formula>
    </cfRule>
  </conditionalFormatting>
  <conditionalFormatting sqref="D20:D29">
    <cfRule type="cellIs" dxfId="4" priority="5" operator="lessThan">
      <formula>$D$30</formula>
    </cfRule>
  </conditionalFormatting>
  <conditionalFormatting sqref="D30:D33">
    <cfRule type="cellIs" dxfId="3" priority="4" operator="greaterThan">
      <formula>$D$29</formula>
    </cfRule>
  </conditionalFormatting>
  <conditionalFormatting sqref="D30:D34">
    <cfRule type="cellIs" dxfId="2" priority="1" operator="greaterThan">
      <formula>12</formula>
    </cfRule>
  </conditionalFormatting>
  <conditionalFormatting sqref="D34:D42">
    <cfRule type="cellIs" dxfId="1" priority="3" operator="greaterThan">
      <formula>$D$33</formula>
    </cfRule>
  </conditionalFormatting>
  <conditionalFormatting sqref="D43:D47">
    <cfRule type="cellIs" dxfId="0" priority="2" operator="greaterThan">
      <formula>$D$42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 Statistic</vt:lpstr>
      <vt:lpstr>Adjusted Maintenance</vt:lpstr>
      <vt:lpstr>Adjusted Trouble</vt:lpstr>
      <vt:lpstr>ALPHA</vt:lpstr>
      <vt:lpstr>DELTA</vt:lpstr>
      <vt:lpstr>BETA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2025-06-21T11:14:36Z</dcterms:created>
  <dcterms:modified xsi:type="dcterms:W3CDTF">2025-07-22T22:31:34Z</dcterms:modified>
</cp:coreProperties>
</file>